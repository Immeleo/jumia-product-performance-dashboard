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d1450c6cf25599d2/Desktop/Jumia-Product-Performance-Dashboard/dashboard/"/>
    </mc:Choice>
  </mc:AlternateContent>
  <xr:revisionPtr revIDLastSave="1411" documentId="8_{F06B32E2-88FE-478B-AB73-C928E58B5819}" xr6:coauthVersionLast="47" xr6:coauthVersionMax="47" xr10:uidLastSave="{6F60C376-CAD0-4AF8-A994-CC8AAF51D606}"/>
  <bookViews>
    <workbookView xWindow="-120" yWindow="-120" windowWidth="20730" windowHeight="11040" firstSheet="2" activeTab="7" xr2:uid="{837D635F-92D5-4CEF-8EAC-F6730D0892A9}"/>
  </bookViews>
  <sheets>
    <sheet name="RAW_Data" sheetId="1" r:id="rId1"/>
    <sheet name="data_quality_audit" sheetId="7" r:id="rId2"/>
    <sheet name="Cleaned_Data" sheetId="9" r:id="rId3"/>
    <sheet name="tblProducts" sheetId="11" r:id="rId4"/>
    <sheet name="Data_Dictionary" sheetId="6" r:id="rId5"/>
    <sheet name="Analysis" sheetId="3" r:id="rId6"/>
    <sheet name="Pivot_Tables" sheetId="4" r:id="rId7"/>
    <sheet name="Dashboard" sheetId="5" r:id="rId8"/>
  </sheets>
  <definedNames>
    <definedName name="Price_Q1">Analysis!$C$4</definedName>
    <definedName name="Price_Q3">Analysis!$C$5</definedName>
    <definedName name="Slicer_Discount_Category">#N/A</definedName>
    <definedName name="Slicer_Price_Category">#N/A</definedName>
    <definedName name="Slicer_Rating_Category">#N/A</definedName>
  </definedNames>
  <calcPr calcId="191029"/>
  <pivotCaches>
    <pivotCache cacheId="14"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7" i="3" l="1" a="1"/>
  <c r="Q7" i="3" s="1"/>
  <c r="M7" i="3" a="1"/>
  <c r="M7" i="3" s="1"/>
  <c r="J7" i="3" a="1"/>
  <c r="J7" i="3" s="1"/>
  <c r="C10" i="3"/>
  <c r="C13" i="3"/>
  <c r="C12" i="3"/>
  <c r="C11" i="3"/>
  <c r="C9" i="3"/>
  <c r="C8" i="3"/>
  <c r="C15" i="3"/>
  <c r="C14" i="3"/>
  <c r="C5" i="3"/>
  <c r="C4" i="3"/>
  <c r="C21" i="3"/>
  <c r="C20" i="3"/>
  <c r="C19" i="3"/>
  <c r="K3" i="11"/>
  <c r="K4" i="11"/>
  <c r="K5" i="11"/>
  <c r="K6" i="11"/>
  <c r="K7" i="11"/>
  <c r="K8" i="11"/>
  <c r="K9" i="11"/>
  <c r="K10" i="11"/>
  <c r="K11" i="11"/>
  <c r="K12" i="11"/>
  <c r="K13" i="11"/>
  <c r="K14" i="11"/>
  <c r="K15" i="11"/>
  <c r="K16" i="11"/>
  <c r="K17" i="11"/>
  <c r="K18" i="11"/>
  <c r="K19" i="11"/>
  <c r="K20" i="11"/>
  <c r="K21" i="11"/>
  <c r="K22" i="11"/>
  <c r="K23" i="11"/>
  <c r="K24" i="11"/>
  <c r="K25" i="11"/>
  <c r="K26" i="11"/>
  <c r="K27" i="11"/>
  <c r="K28" i="11"/>
  <c r="K29" i="11"/>
  <c r="K30" i="11"/>
  <c r="K31" i="11"/>
  <c r="K32" i="11"/>
  <c r="K33" i="11"/>
  <c r="K34" i="11"/>
  <c r="K35" i="11"/>
  <c r="K36" i="11"/>
  <c r="K37" i="11"/>
  <c r="K38" i="11"/>
  <c r="K39" i="11"/>
  <c r="K40" i="11"/>
  <c r="K41" i="11"/>
  <c r="K42" i="11"/>
  <c r="K43" i="11"/>
  <c r="K44" i="11"/>
  <c r="K45" i="11"/>
  <c r="K46" i="11"/>
  <c r="K47" i="11"/>
  <c r="K48" i="11"/>
  <c r="K49" i="11"/>
  <c r="K50" i="11"/>
  <c r="K51" i="11"/>
  <c r="K52" i="11"/>
  <c r="K53" i="11"/>
  <c r="K54" i="11"/>
  <c r="K55" i="11"/>
  <c r="K56" i="11"/>
  <c r="K57" i="11"/>
  <c r="K58" i="11"/>
  <c r="K59" i="11"/>
  <c r="K60" i="11"/>
  <c r="K61" i="11"/>
  <c r="K62" i="11"/>
  <c r="K63" i="11"/>
  <c r="K64" i="11"/>
  <c r="K65" i="11"/>
  <c r="K66" i="11"/>
  <c r="K67" i="11"/>
  <c r="K68" i="11"/>
  <c r="K69" i="11"/>
  <c r="K70" i="11"/>
  <c r="K71" i="11"/>
  <c r="K72" i="11"/>
  <c r="K73" i="11"/>
  <c r="K74" i="11"/>
  <c r="K75" i="11"/>
  <c r="K76" i="11"/>
  <c r="K77" i="11"/>
  <c r="K78" i="11"/>
  <c r="K79" i="11"/>
  <c r="K80" i="11"/>
  <c r="K81" i="11"/>
  <c r="K82" i="11"/>
  <c r="K83" i="11"/>
  <c r="K84" i="11"/>
  <c r="K85" i="11"/>
  <c r="K86" i="11"/>
  <c r="K87" i="11"/>
  <c r="K88" i="11"/>
  <c r="K89" i="11"/>
  <c r="K90" i="11"/>
  <c r="K91" i="11"/>
  <c r="K92" i="11"/>
  <c r="K93" i="11"/>
  <c r="K94" i="11"/>
  <c r="K95" i="11"/>
  <c r="K96" i="11"/>
  <c r="K97" i="11"/>
  <c r="K98" i="11"/>
  <c r="K99" i="11"/>
  <c r="K100" i="11"/>
  <c r="K101" i="11"/>
  <c r="K102" i="11"/>
  <c r="K103" i="11"/>
  <c r="K104" i="11"/>
  <c r="K105" i="11"/>
  <c r="K106" i="11"/>
  <c r="K107" i="11"/>
  <c r="K108" i="11"/>
  <c r="K109" i="11"/>
  <c r="K110" i="11"/>
  <c r="K111" i="11"/>
  <c r="K112" i="11"/>
  <c r="K113" i="11"/>
  <c r="K2" i="11"/>
  <c r="F3" i="11"/>
  <c r="F4" i="11"/>
  <c r="F5" i="11"/>
  <c r="F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54" i="11"/>
  <c r="F55" i="11"/>
  <c r="F56" i="11"/>
  <c r="F57" i="11"/>
  <c r="F58" i="11"/>
  <c r="F59" i="11"/>
  <c r="F60" i="11"/>
  <c r="F61" i="11"/>
  <c r="F62" i="11"/>
  <c r="F63" i="11"/>
  <c r="F64" i="11"/>
  <c r="F65" i="11"/>
  <c r="F66" i="11"/>
  <c r="F67" i="11"/>
  <c r="F68" i="11"/>
  <c r="F69" i="11"/>
  <c r="F70" i="11"/>
  <c r="F71" i="11"/>
  <c r="F72" i="11"/>
  <c r="F73" i="11"/>
  <c r="F74" i="11"/>
  <c r="F75" i="11"/>
  <c r="F76" i="11"/>
  <c r="F77" i="11"/>
  <c r="F78" i="11"/>
  <c r="F79" i="11"/>
  <c r="F80" i="11"/>
  <c r="F81" i="11"/>
  <c r="F82" i="11"/>
  <c r="F83" i="11"/>
  <c r="F84" i="11"/>
  <c r="F85" i="11"/>
  <c r="F86" i="11"/>
  <c r="F87" i="11"/>
  <c r="F88" i="11"/>
  <c r="F89" i="11"/>
  <c r="F90" i="11"/>
  <c r="F91" i="11"/>
  <c r="F92" i="11"/>
  <c r="F93" i="11"/>
  <c r="F94" i="11"/>
  <c r="F95" i="11"/>
  <c r="F96" i="11"/>
  <c r="F97" i="11"/>
  <c r="F98" i="11"/>
  <c r="F99" i="11"/>
  <c r="F100" i="11"/>
  <c r="F101" i="11"/>
  <c r="F102" i="11"/>
  <c r="F103" i="11"/>
  <c r="F104" i="11"/>
  <c r="F105" i="11"/>
  <c r="F106" i="11"/>
  <c r="F107" i="11"/>
  <c r="F108" i="11"/>
  <c r="F109" i="11"/>
  <c r="F110" i="11"/>
  <c r="F111" i="11"/>
  <c r="F112" i="11"/>
  <c r="F113" i="11"/>
  <c r="F2" i="11"/>
  <c r="J2" i="11"/>
  <c r="J3" i="11"/>
  <c r="J4" i="11"/>
  <c r="J5" i="11"/>
  <c r="J6" i="11"/>
  <c r="J7" i="11"/>
  <c r="J8" i="11"/>
  <c r="J9" i="11"/>
  <c r="J10" i="11"/>
  <c r="J11" i="11"/>
  <c r="J12" i="11"/>
  <c r="J13" i="11"/>
  <c r="J14" i="11"/>
  <c r="J15" i="11"/>
  <c r="J16" i="11"/>
  <c r="J17" i="11"/>
  <c r="J18" i="11"/>
  <c r="J19" i="11"/>
  <c r="J20" i="11"/>
  <c r="J21" i="11"/>
  <c r="J22" i="11"/>
  <c r="J23" i="11"/>
  <c r="J24" i="11"/>
  <c r="J25" i="11"/>
  <c r="J26" i="11"/>
  <c r="J27" i="11"/>
  <c r="J28" i="11"/>
  <c r="J29" i="11"/>
  <c r="J30" i="11"/>
  <c r="J31" i="11"/>
  <c r="J32" i="11"/>
  <c r="J33" i="11"/>
  <c r="J34" i="11"/>
  <c r="J35" i="11"/>
  <c r="J36" i="11"/>
  <c r="J37" i="11"/>
  <c r="J38" i="11"/>
  <c r="J39" i="11"/>
  <c r="J40" i="11"/>
  <c r="J41" i="11"/>
  <c r="J42" i="11"/>
  <c r="J43" i="11"/>
  <c r="J44" i="11"/>
  <c r="J45" i="11"/>
  <c r="J46" i="11"/>
  <c r="J47" i="11"/>
  <c r="J48" i="11"/>
  <c r="J49" i="11"/>
  <c r="J50" i="11"/>
  <c r="J51" i="11"/>
  <c r="J52" i="11"/>
  <c r="J53" i="11"/>
  <c r="J54" i="11"/>
  <c r="J55" i="11"/>
  <c r="J56" i="11"/>
  <c r="J57" i="11"/>
  <c r="J58" i="11"/>
  <c r="J59" i="11"/>
  <c r="J60" i="11"/>
  <c r="J61" i="11"/>
  <c r="J62" i="11"/>
  <c r="J63" i="11"/>
  <c r="J64" i="11"/>
  <c r="J65" i="11"/>
  <c r="J66" i="11"/>
  <c r="J67" i="11"/>
  <c r="J68" i="11"/>
  <c r="J69" i="11"/>
  <c r="J70" i="11"/>
  <c r="J71" i="11"/>
  <c r="J72" i="11"/>
  <c r="J73" i="11"/>
  <c r="J74" i="11"/>
  <c r="J75" i="11"/>
  <c r="J76" i="11"/>
  <c r="J77" i="11"/>
  <c r="J78" i="11"/>
  <c r="J79" i="11"/>
  <c r="J80" i="11"/>
  <c r="J81" i="11"/>
  <c r="J82" i="11"/>
  <c r="J83" i="11"/>
  <c r="J84" i="11"/>
  <c r="J85" i="11"/>
  <c r="J86" i="11"/>
  <c r="J87" i="11"/>
  <c r="J88" i="11"/>
  <c r="J89" i="11"/>
  <c r="J90" i="11"/>
  <c r="J91" i="11"/>
  <c r="J92" i="11"/>
  <c r="J93" i="11"/>
  <c r="J94" i="11"/>
  <c r="J95" i="11"/>
  <c r="J96" i="11"/>
  <c r="J97" i="11"/>
  <c r="J98" i="11"/>
  <c r="J99" i="11"/>
  <c r="J100" i="11"/>
  <c r="J101" i="11"/>
  <c r="J102" i="11"/>
  <c r="J103" i="11"/>
  <c r="J104" i="11"/>
  <c r="J105" i="11"/>
  <c r="J106" i="11"/>
  <c r="J107" i="11"/>
  <c r="J108" i="11"/>
  <c r="J109" i="11"/>
  <c r="J110" i="11"/>
  <c r="J111" i="11"/>
  <c r="J112" i="11"/>
  <c r="J113"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2" i="11"/>
  <c r="C5" i="11" l="1"/>
  <c r="C34" i="11"/>
  <c r="C19" i="11"/>
  <c r="C4" i="11"/>
  <c r="C3" i="11"/>
  <c r="C108" i="11"/>
  <c r="C100" i="11"/>
  <c r="C92" i="11"/>
  <c r="C84" i="11"/>
  <c r="C76" i="11"/>
  <c r="C68" i="11"/>
  <c r="C60" i="11"/>
  <c r="C52" i="11"/>
  <c r="C44" i="11"/>
  <c r="C36" i="11"/>
  <c r="C28" i="11"/>
  <c r="C20" i="11"/>
  <c r="C12" i="11"/>
  <c r="C107" i="11"/>
  <c r="C99" i="11"/>
  <c r="C91" i="11"/>
  <c r="C83" i="11"/>
  <c r="C75" i="11"/>
  <c r="C67" i="11"/>
  <c r="C59" i="11"/>
  <c r="C51" i="11"/>
  <c r="C43" i="11"/>
  <c r="C35" i="11"/>
  <c r="C27" i="11"/>
  <c r="C11" i="11"/>
  <c r="C2" i="11"/>
  <c r="C106" i="11"/>
  <c r="C98" i="11"/>
  <c r="C90" i="11"/>
  <c r="C82" i="11"/>
  <c r="C74" i="11"/>
  <c r="C66" i="11"/>
  <c r="C58" i="11"/>
  <c r="C50" i="11"/>
  <c r="C42" i="11"/>
  <c r="C26" i="11"/>
  <c r="C18" i="11"/>
  <c r="C10" i="11"/>
  <c r="C113" i="11"/>
  <c r="C105" i="11"/>
  <c r="C97" i="11"/>
  <c r="C89" i="11"/>
  <c r="C81" i="11"/>
  <c r="C73" i="11"/>
  <c r="C65" i="11"/>
  <c r="C57" i="11"/>
  <c r="C49" i="11"/>
  <c r="C41" i="11"/>
  <c r="C33" i="11"/>
  <c r="C25" i="11"/>
  <c r="C17" i="11"/>
  <c r="C9" i="11"/>
  <c r="C112" i="11"/>
  <c r="C104" i="11"/>
  <c r="C96" i="11"/>
  <c r="C88" i="11"/>
  <c r="C80" i="11"/>
  <c r="C72" i="11"/>
  <c r="C64" i="11"/>
  <c r="C56" i="11"/>
  <c r="C48" i="11"/>
  <c r="C40" i="11"/>
  <c r="C32" i="11"/>
  <c r="C24" i="11"/>
  <c r="C16" i="11"/>
  <c r="C8" i="11"/>
  <c r="C111" i="11"/>
  <c r="C103" i="11"/>
  <c r="C95" i="11"/>
  <c r="C87" i="11"/>
  <c r="C79" i="11"/>
  <c r="C71" i="11"/>
  <c r="C63" i="11"/>
  <c r="C55" i="11"/>
  <c r="C47" i="11"/>
  <c r="C39" i="11"/>
  <c r="C31" i="11"/>
  <c r="C23" i="11"/>
  <c r="C15" i="11"/>
  <c r="C7" i="11"/>
  <c r="C110" i="11"/>
  <c r="C102" i="11"/>
  <c r="C94" i="11"/>
  <c r="C86" i="11"/>
  <c r="C78" i="11"/>
  <c r="C70" i="11"/>
  <c r="C62" i="11"/>
  <c r="C54" i="11"/>
  <c r="C46" i="11"/>
  <c r="C38" i="11"/>
  <c r="C30" i="11"/>
  <c r="C22" i="11"/>
  <c r="C14" i="11"/>
  <c r="C6" i="11"/>
  <c r="C109" i="11"/>
  <c r="C101" i="11"/>
  <c r="C93" i="11"/>
  <c r="C85" i="11"/>
  <c r="C77" i="11"/>
  <c r="C69" i="11"/>
  <c r="C61" i="11"/>
  <c r="C53" i="11"/>
  <c r="C45" i="11"/>
  <c r="C37" i="11"/>
  <c r="C29" i="11"/>
  <c r="C21" i="11"/>
  <c r="C13" i="1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<sst xmlns="http://schemas.openxmlformats.org/spreadsheetml/2006/main" count="1048" uniqueCount="446">
  <si>
    <t>Product</t>
  </si>
  <si>
    <t>Current price</t>
  </si>
  <si>
    <t>old price</t>
  </si>
  <si>
    <t>Discount</t>
  </si>
  <si>
    <t>Review</t>
  </si>
  <si>
    <t>Ratingd</t>
  </si>
  <si>
    <t>115  Piece Set Of Multifunctional Precision Screwdrivers</t>
  </si>
  <si>
    <t>KSh 950</t>
  </si>
  <si>
    <t>KSh 1,525</t>
  </si>
  <si>
    <t>4.5 out of 5</t>
  </si>
  <si>
    <t>Metal Decorative Hooks Key Hangers Entryway Wall Hooks Towel Hooks - Home</t>
  </si>
  <si>
    <t>KSh 527</t>
  </si>
  <si>
    <t>KSh 999</t>
  </si>
  <si>
    <t>4.1 out of 5</t>
  </si>
  <si>
    <t>Portable Mini Cordless Car Vacuum Cleaner - Blue</t>
  </si>
  <si>
    <t>KSh 2,199</t>
  </si>
  <si>
    <t>KSh 2,923</t>
  </si>
  <si>
    <t>4.6 out of 5</t>
  </si>
  <si>
    <t>Weighing Scale Digital Bathroom Body Fat Scale USB-Black</t>
  </si>
  <si>
    <t>KSh 1,580</t>
  </si>
  <si>
    <t>KSh 2,499</t>
  </si>
  <si>
    <t>4.7 out of 5</t>
  </si>
  <si>
    <t>Portable Home Small Air Humidifier 3-Speed Fan - Green</t>
  </si>
  <si>
    <t>KSh 1,740</t>
  </si>
  <si>
    <t>KSh 2,356</t>
  </si>
  <si>
    <t>4.8 out of 5</t>
  </si>
  <si>
    <t>220V 60W Electric Soldering Iron Kits With Tools, Tips, And Multimeter</t>
  </si>
  <si>
    <t>KSh 2,999</t>
  </si>
  <si>
    <t>KSh 3,290</t>
  </si>
  <si>
    <t>4 out of 5</t>
  </si>
  <si>
    <t>137 Pieces Cake Decorating Tool Set Baking Supplies</t>
  </si>
  <si>
    <t>KSh 2,319</t>
  </si>
  <si>
    <t>KSh 3,032</t>
  </si>
  <si>
    <t>Desk Foldable Fan Adjustable Fan Strong Wind 3 Gear Usb</t>
  </si>
  <si>
    <t>KSh 988</t>
  </si>
  <si>
    <t>LASA FOLDING TABLE SERVING STAND</t>
  </si>
  <si>
    <t>KSh 1,274</t>
  </si>
  <si>
    <t>KSh 2,800</t>
  </si>
  <si>
    <t>13 In 1 Home Repair Tools Box Kit Set</t>
  </si>
  <si>
    <t>KSh 1,600</t>
  </si>
  <si>
    <t>KSh 2,929</t>
  </si>
  <si>
    <t>3.8 out of 5</t>
  </si>
  <si>
    <t>Genebre 115 In 1 Screwdriver Repairing Tool Set For IPhone Cellphone Hand Tool</t>
  </si>
  <si>
    <t>KSh 799</t>
  </si>
  <si>
    <t>100 Pcs Crochet Hook Tool Set Knitting Hook Set With Box</t>
  </si>
  <si>
    <t>KSh 990</t>
  </si>
  <si>
    <t>KSh 1,500</t>
  </si>
  <si>
    <t>40cm Gold DIY Acrylic Wall Sticker Clock</t>
  </si>
  <si>
    <t>KSh 552</t>
  </si>
  <si>
    <t>KSh 1,035</t>
  </si>
  <si>
    <t>LASA Digital Thermometer And Hydrometer</t>
  </si>
  <si>
    <t>KSh 501</t>
  </si>
  <si>
    <t>KSh 860</t>
  </si>
  <si>
    <t>Multifunction Laser Level With Adjustment Tripod</t>
  </si>
  <si>
    <t>KSh 1,680</t>
  </si>
  <si>
    <t>4.2 out of 5</t>
  </si>
  <si>
    <t>Anti-Skid Absorbent Insulation Coaster  For Home Office</t>
  </si>
  <si>
    <t>KSh 332</t>
  </si>
  <si>
    <t>KSh 684</t>
  </si>
  <si>
    <t>5 out of 5</t>
  </si>
  <si>
    <t>Peacock  Throw Pillow Cushion Case For Home Car</t>
  </si>
  <si>
    <t>KSh 195</t>
  </si>
  <si>
    <t>KSh 360</t>
  </si>
  <si>
    <t>LASA Aluminum Folding Truck Hand Cart - 68kg Max</t>
  </si>
  <si>
    <t>KSh 2,025</t>
  </si>
  <si>
    <t>KSh 3,971</t>
  </si>
  <si>
    <t>LED Wall Digital Alarm Clock Study Home 12 / 24H Clock Calendar</t>
  </si>
  <si>
    <t>KSh 3,699</t>
  </si>
  <si>
    <t>3D Waterproof EVA Plastic Shower Curtain 1.8*2Mtrs</t>
  </si>
  <si>
    <t>KSh 998</t>
  </si>
  <si>
    <t>KSh 1,966</t>
  </si>
  <si>
    <t>3PCS Single Head Knitting Crochet Sweater Needle Set</t>
  </si>
  <si>
    <t>KSh 38</t>
  </si>
  <si>
    <t>KSh 80</t>
  </si>
  <si>
    <t>3.3 out of 5</t>
  </si>
  <si>
    <t>4pcs Bathroom/Kitchen Towel Rack,Roll Paper Holder,Towel Bars,Hook</t>
  </si>
  <si>
    <t>KSh 1,860</t>
  </si>
  <si>
    <t>KSh 3,220</t>
  </si>
  <si>
    <t>LED Romantic Spaceship Starry Sky Projector,Children's Bedroom Night Light-Blue</t>
  </si>
  <si>
    <t>KSh 880</t>
  </si>
  <si>
    <t>KSh 1,350</t>
  </si>
  <si>
    <t>Foldable Overbed Table/Desk</t>
  </si>
  <si>
    <t>KSh 1,650</t>
  </si>
  <si>
    <t>KSh 2,150</t>
  </si>
  <si>
    <t>4.4 out of 5</t>
  </si>
  <si>
    <t>LASA 3 Tier Bamboo Shoe Bench Storage Shelf</t>
  </si>
  <si>
    <t>KSh 2,048</t>
  </si>
  <si>
    <t>KSh 4,500</t>
  </si>
  <si>
    <t>4.3 out of 5</t>
  </si>
  <si>
    <t>Electronic Digital Display Vernier Caliper</t>
  </si>
  <si>
    <t>KSh 420</t>
  </si>
  <si>
    <t>KSh 647</t>
  </si>
  <si>
    <t>Portable Wardrobe Nonwoven With 3 Hanging Rods And 6 Storage Shelves</t>
  </si>
  <si>
    <t>KSh 2,880</t>
  </si>
  <si>
    <t>KSh 3,520</t>
  </si>
  <si>
    <t>12 Litre Black Insulated Lunch Box</t>
  </si>
  <si>
    <t>KSh 1,990</t>
  </si>
  <si>
    <t>52 Pieces Cake Decorating Tool Set Gift Kit Baking Supplies</t>
  </si>
  <si>
    <t>KSh 1,758</t>
  </si>
  <si>
    <t>MultiFunctional Storage Rack Multi-layer Bookshelf</t>
  </si>
  <si>
    <t>KSh 2,200</t>
  </si>
  <si>
    <t>KSh 4,080</t>
  </si>
  <si>
    <t>Exfoliate And Exfoliate Face Towel - Black</t>
  </si>
  <si>
    <t>KSh 185</t>
  </si>
  <si>
    <t>KSh 382</t>
  </si>
  <si>
    <t>12 Litre Insulated Lunch Box Grey</t>
  </si>
  <si>
    <t>KSh 980</t>
  </si>
  <si>
    <t>KSh 1,490</t>
  </si>
  <si>
    <t>LED Eye Protection  Desk Lamp , Study, Reading, USB Fan - Double Pen Holder</t>
  </si>
  <si>
    <t>KSh 1,820</t>
  </si>
  <si>
    <t>KSh 3,490</t>
  </si>
  <si>
    <t>53Pcs/Set Yarn Knitting Crochet Hooks With Bag - Fortune Cat</t>
  </si>
  <si>
    <t>KSh 1,940</t>
  </si>
  <si>
    <t>KSh 2,650</t>
  </si>
  <si>
    <t>53 Pieces/Set Yarn Knitting Crochet Hooks With Bag - Pansies</t>
  </si>
  <si>
    <t>KSh 1,980</t>
  </si>
  <si>
    <t>KSh 2,699</t>
  </si>
  <si>
    <t>DIY File Folder, Office Drawer File Holder, Pen Holder, Desktop Storage Rack</t>
  </si>
  <si>
    <t>KSh 1,620</t>
  </si>
  <si>
    <t>KSh 2,690</t>
  </si>
  <si>
    <t>Classic Black Cat Cotton Hemp Pillow Case For Home Car</t>
  </si>
  <si>
    <t>KSh 171</t>
  </si>
  <si>
    <t>Punch-free Great Load Bearing Bathroom Storage Rack Wall Shelf-White</t>
  </si>
  <si>
    <t>KSh 389</t>
  </si>
  <si>
    <t>KSh 656</t>
  </si>
  <si>
    <t>1/2/3 Seater Elastic Sofa Cover,Living Room/Home Decor Chair Cover-Grey</t>
  </si>
  <si>
    <t>KSh 1,620 - KSh 1,980</t>
  </si>
  <si>
    <t>KSh 2,200 - KSh 3,200</t>
  </si>
  <si>
    <t>LASA Stainless Steel Double Wall Mount Soap Dispenser - 500ml</t>
  </si>
  <si>
    <t>KSh 2,750</t>
  </si>
  <si>
    <t>KSh 4,471</t>
  </si>
  <si>
    <t>4M Float Switch Water Level Controller -Water Tank</t>
  </si>
  <si>
    <t>KSh 475</t>
  </si>
  <si>
    <t>KSh 931</t>
  </si>
  <si>
    <t>Modern Sofa Throw Pillow Cover-45x45cm-Blue&amp;Red</t>
  </si>
  <si>
    <t>KSh 238</t>
  </si>
  <si>
    <t>KSh 476</t>
  </si>
  <si>
    <t>Balloon Insert, Birthday Party Balloon Set, PU Leather</t>
  </si>
  <si>
    <t>KSh 610</t>
  </si>
  <si>
    <t>KSh 1,060</t>
  </si>
  <si>
    <t>Shower Cap Wide Elastic Band Cover Reusable Bashroom Cap</t>
  </si>
  <si>
    <t>KSh 2,132</t>
  </si>
  <si>
    <t>KSh 2,169</t>
  </si>
  <si>
    <t>Christmas Elk Fence Yard Lawn Decorations Cute For Holidays</t>
  </si>
  <si>
    <t>KSh 2,000</t>
  </si>
  <si>
    <t>60W Hot Melt Glue Sprayer - Efficient And Stable Glue Dispensing</t>
  </si>
  <si>
    <t>KSh 1,190</t>
  </si>
  <si>
    <t>KSh 1,785</t>
  </si>
  <si>
    <t>Car Phone Charging Stand</t>
  </si>
  <si>
    <t>KSh 671</t>
  </si>
  <si>
    <t>KSh 1,316</t>
  </si>
  <si>
    <t>2pcs Solar Street Light Flood Light Outdoor</t>
  </si>
  <si>
    <t>KSh 1,200</t>
  </si>
  <si>
    <t>KSh 1,950</t>
  </si>
  <si>
    <t>Creative Owl Shape Keychain Black</t>
  </si>
  <si>
    <t>KSh 199</t>
  </si>
  <si>
    <t>KSh 504</t>
  </si>
  <si>
    <t>Brush &amp; Paintbrush Cleaning Tool Pink</t>
  </si>
  <si>
    <t>KSh 299</t>
  </si>
  <si>
    <t>KSh 600</t>
  </si>
  <si>
    <t>Pen Grips For Kids Pen Grip Posture Correction Tool For Kids</t>
  </si>
  <si>
    <t>KSh 1,660</t>
  </si>
  <si>
    <t>KSh 1,699</t>
  </si>
  <si>
    <t>Pilates Cloth Bag Waterproof Durable High Capacity Purple</t>
  </si>
  <si>
    <t>KSh 384</t>
  </si>
  <si>
    <t>Multi-purpose Rice Drainage Basket And Fruit And Vegetable Drainage Sieve</t>
  </si>
  <si>
    <t>KSh 1,459</t>
  </si>
  <si>
    <t>KSh 1,499</t>
  </si>
  <si>
    <t>Cute Christmas Fence Garden Decorations For Holiday Home</t>
  </si>
  <si>
    <t>KSh 1,343</t>
  </si>
  <si>
    <t>Simple Metal Dog Art Sculpture Decoration For Home Office</t>
  </si>
  <si>
    <t>KSh 499</t>
  </si>
  <si>
    <t>KSh 900</t>
  </si>
  <si>
    <t>Christmas Fence Garden Decorations Outdoor For Holiday Home</t>
  </si>
  <si>
    <t>KSh 699</t>
  </si>
  <si>
    <t>Angle Measuring Tool Full Metal Multi Angle Measuring Tool</t>
  </si>
  <si>
    <t>KSh 1,567</t>
  </si>
  <si>
    <t>12V 19500rpm Handheld Electric Angle Grinder Tool - UK - Yellow/Black</t>
  </si>
  <si>
    <t>KSh 2,799</t>
  </si>
  <si>
    <t>KSh 3,810</t>
  </si>
  <si>
    <t>KSh 399</t>
  </si>
  <si>
    <t>KSh 896</t>
  </si>
  <si>
    <t>5 Pieces/set Of Stainless Steel Induction Cooker Pots</t>
  </si>
  <si>
    <t>KSh 2,170</t>
  </si>
  <si>
    <t>KSh 2,500</t>
  </si>
  <si>
    <t>2.5 out of 5</t>
  </si>
  <si>
    <t>Mythco 120COB Solar Wall Ligt With Motion Sensor And Remote Control 3 Modes</t>
  </si>
  <si>
    <t>KSh 458</t>
  </si>
  <si>
    <t>KSh 986</t>
  </si>
  <si>
    <t>3 out of 5</t>
  </si>
  <si>
    <t>5-PCS Stainless Steel Cooking Pot Set With Steamed Slices</t>
  </si>
  <si>
    <t>KSh 2,115</t>
  </si>
  <si>
    <t>KSh 4,700</t>
  </si>
  <si>
    <t>2.1 out of 5</t>
  </si>
  <si>
    <t>120W Cordless Vacuum Cleaners Handheld Electric Vacuum Cleaner</t>
  </si>
  <si>
    <t>KSh 445</t>
  </si>
  <si>
    <t>KSh 873</t>
  </si>
  <si>
    <t>2.8 out of 5</t>
  </si>
  <si>
    <t>Intelligent  LED Body Sensor Wireless Lighting Night Light USB</t>
  </si>
  <si>
    <t>KSh 325</t>
  </si>
  <si>
    <t>KSh 680</t>
  </si>
  <si>
    <t>2.7 out of 5</t>
  </si>
  <si>
    <t>VIC Wireless Vacuum Cleaner Dual Use For Home And Car 120W High Power Powerful</t>
  </si>
  <si>
    <t>KSh 1,220</t>
  </si>
  <si>
    <t>KSh 1,555</t>
  </si>
  <si>
    <t>2.9 out of 5</t>
  </si>
  <si>
    <t>Artificial Potted Flowers Room Decorative Flowers (2 Pieces)</t>
  </si>
  <si>
    <t>KSh 1,814</t>
  </si>
  <si>
    <t>2.2 out of 5</t>
  </si>
  <si>
    <t>380ML USB Rechargeable Portable Small Blenders And Juicers</t>
  </si>
  <si>
    <t>KSh 1,000</t>
  </si>
  <si>
    <t>2.3 out of 5</t>
  </si>
  <si>
    <t>32PCS Portable Cordless Drill Set With Cyclic Battery Drive -26 Variable Speed</t>
  </si>
  <si>
    <t>KSh 3,750</t>
  </si>
  <si>
    <t>KSh 6,143</t>
  </si>
  <si>
    <t>Agapeon Toothbrush Holder And Toothpaste Dispenser</t>
  </si>
  <si>
    <t>KSh 700</t>
  </si>
  <si>
    <t>2.6 out of 5</t>
  </si>
  <si>
    <t>Large Lazy Inflatable Sofa Chairs PVC Lounger Seat Bag</t>
  </si>
  <si>
    <t>KSh 2,300</t>
  </si>
  <si>
    <t>KSh 3,240</t>
  </si>
  <si>
    <t>Watercolour Gold Foil Textured Print Pillow Cover</t>
  </si>
  <si>
    <t>KSh 345</t>
  </si>
  <si>
    <t>KSh 602</t>
  </si>
  <si>
    <t>Wrought Iron Bathroom Shelf Wall Mounted Free Punch Toilet Rack</t>
  </si>
  <si>
    <t>KSh 509</t>
  </si>
  <si>
    <t>KSh 899</t>
  </si>
  <si>
    <t>7-piece Set Of Storage Bags, Travel Storage Bags, Shoe Bags</t>
  </si>
  <si>
    <t>KSh 968</t>
  </si>
  <si>
    <t>Electric LED UV Mosquito Killer Lamp, Outdoor/Indoor Fly Killer Trap Light -USB</t>
  </si>
  <si>
    <t>KSh 1,570</t>
  </si>
  <si>
    <t>KSh 2,988</t>
  </si>
  <si>
    <t>2PCS/LOT Solar LED Outdoor Intelligent Light Controlled Wall Lamp</t>
  </si>
  <si>
    <t>KSh 790</t>
  </si>
  <si>
    <t>KSh 1,485</t>
  </si>
  <si>
    <t>3PCS Rotary Scraper Thermomix For Kitchen</t>
  </si>
  <si>
    <t>KSh 690</t>
  </si>
  <si>
    <t>Cushion Silicone Butt Cushion Summer Ice Cushion Honeycomb Gel Cushion</t>
  </si>
  <si>
    <t>KSh 1,732</t>
  </si>
  <si>
    <t>KSh 1,799</t>
  </si>
  <si>
    <t>7PCS Silicone Thumb Knife Finger Protector Vegetable Harvesting Knife</t>
  </si>
  <si>
    <t>KSh 230</t>
  </si>
  <si>
    <t>KSh 450</t>
  </si>
  <si>
    <t>Memory Foam Neck Pillow Cover, With Pillow Core - 50*30cm</t>
  </si>
  <si>
    <t>KSh 1,189</t>
  </si>
  <si>
    <t>Bedroom Simple Floor Hanging Clothes Rack Single Pole Hat Rack - White</t>
  </si>
  <si>
    <t>KSh 979</t>
  </si>
  <si>
    <t>KSh 1,920</t>
  </si>
  <si>
    <t>5m Waterproof Spherical LED String Lights Outdoor Ball Chain Lights Party Lighting Decoration Adjustable</t>
  </si>
  <si>
    <t>KSh 1,460</t>
  </si>
  <si>
    <t>KSh 2,290</t>
  </si>
  <si>
    <t>2 Pairs Cowhide Split Leather Work Gloves.32â„‰ Or Above Welding Gloves</t>
  </si>
  <si>
    <t>KSh 1,666</t>
  </si>
  <si>
    <t>Household Pineapple Peeler Peeler</t>
  </si>
  <si>
    <t>KSh 330</t>
  </si>
  <si>
    <t>KSh 176</t>
  </si>
  <si>
    <t>Office Chair Lumbar Back Support Spine Posture Correction Pillow Car Cushion</t>
  </si>
  <si>
    <t>KSh 1,466</t>
  </si>
  <si>
    <t>Cartoon Car Decoration Cute Individuality For Car Home Desk</t>
  </si>
  <si>
    <t>KSh 274</t>
  </si>
  <si>
    <t>KSh 537</t>
  </si>
  <si>
    <t>Outdoor Portable Water Bottle With Medicine Box - 600ML - Black</t>
  </si>
  <si>
    <t>KSh 657</t>
  </si>
  <si>
    <t>KSh 1,288</t>
  </si>
  <si>
    <t>Wall-Mounted Toothbrush Toothpaste Holder With Multiple Slots</t>
  </si>
  <si>
    <t>KSh 1,468</t>
  </si>
  <si>
    <t>Multifunctional Hanging Storage Box Storage Bag (4 Layers)</t>
  </si>
  <si>
    <t>KSh 630</t>
  </si>
  <si>
    <t>KSh 1,100</t>
  </si>
  <si>
    <t>Wall Clock With Hidden Safe Box</t>
  </si>
  <si>
    <t>KSh 850</t>
  </si>
  <si>
    <t>KSh 1,700</t>
  </si>
  <si>
    <t>Portable Wine Table With Folding Round Table</t>
  </si>
  <si>
    <t>KSh 1,300</t>
  </si>
  <si>
    <t>Sewing Machine Needle Threader Stitch Insertion Tool Automatic Quick Sewing</t>
  </si>
  <si>
    <t>KSh 105</t>
  </si>
  <si>
    <t>KSh 200</t>
  </si>
  <si>
    <t>6 Layers Steel Pipe Assembling Dustproof Storage Shoe Cabinet</t>
  </si>
  <si>
    <t>2PCS Ice Silk Square Cushion Cover Pillowcases - 65x65cm</t>
  </si>
  <si>
    <t>KSh 2,400</t>
  </si>
  <si>
    <t>Wall Mount Automatic Toothpaste Dispenser Toothbrush Holder Toothpaste Squeezer</t>
  </si>
  <si>
    <t>KSh 1,526</t>
  </si>
  <si>
    <t>Portable Soap Dispenser Kitchen Detergent Press Box Kitchen Tools</t>
  </si>
  <si>
    <t>KSh 1,462</t>
  </si>
  <si>
    <t>4 Piece Coloured Stainless Steel Kitchenware Set</t>
  </si>
  <si>
    <t>KSh 248</t>
  </si>
  <si>
    <t>KSh 486</t>
  </si>
  <si>
    <t>Metal Wall Clock Silver Dial Crystal Jewelry Round Home Decoration Wall Clock</t>
  </si>
  <si>
    <t>KSh 3,546</t>
  </si>
  <si>
    <t>Baby Early Education Shape And Color Cognitive Training Toys</t>
  </si>
  <si>
    <t>KSh 525</t>
  </si>
  <si>
    <t>KSh 1,029</t>
  </si>
  <si>
    <t>8in1 Screwdriver With LED Light</t>
  </si>
  <si>
    <t>KSh 1,080</t>
  </si>
  <si>
    <t>KSh 1,874</t>
  </si>
  <si>
    <t>Konka Healty Electric Kettle, 24-hour Heat Preservation,1.5L,800W, White</t>
  </si>
  <si>
    <t>KSh 3,640</t>
  </si>
  <si>
    <t>KSh 4,588</t>
  </si>
  <si>
    <t>9pcs Gas Mask, For Painting, Dust, Formaldehyde Grinding, Polishing</t>
  </si>
  <si>
    <t>KSh 1,420</t>
  </si>
  <si>
    <t>KSh 2,420</t>
  </si>
  <si>
    <t>24 Grid Wall-mounted Sundries Organiser Fabric Closet Bag Storage Rack</t>
  </si>
  <si>
    <t>KSh 1,875</t>
  </si>
  <si>
    <t>KSh 1,899</t>
  </si>
  <si>
    <t>1PC Refrigerator Food Seal Pocket Fridge Bags</t>
  </si>
  <si>
    <t>KSh 198</t>
  </si>
  <si>
    <t>KSh 260</t>
  </si>
  <si>
    <t>LED Solar Street Light-fake Camera</t>
  </si>
  <si>
    <t>KSh 1,150</t>
  </si>
  <si>
    <t>KSh 1,737</t>
  </si>
  <si>
    <t>Cartoon Embroidered Mini Towel Bear Cotton Wash Cloth Hand 4pcs</t>
  </si>
  <si>
    <t>KSh 1,810</t>
  </si>
  <si>
    <t>Shower Nozzle Cleaning Unclogging Needle Mini Crevice Small Hole Cleaning Brush</t>
  </si>
  <si>
    <t>KSh 1,658</t>
  </si>
  <si>
    <t>Thickening Multipurpose Non Stick Easy To Clean Heat Resistant Spoon Pad</t>
  </si>
  <si>
    <t>KSh 1,768</t>
  </si>
  <si>
    <t>6 In 1 Bottle Can Opener Multifunctional Easy Opener</t>
  </si>
  <si>
    <t>KSh 553</t>
  </si>
  <si>
    <t>Wall-mounted Sticker Punch-free Plug Fixer</t>
  </si>
  <si>
    <t>2 out of 5</t>
  </si>
  <si>
    <t>Black Simple Water Cup Wine Coaster Anti Slip Absorbent</t>
  </si>
  <si>
    <t>KSh 169</t>
  </si>
  <si>
    <t>KSh 320</t>
  </si>
  <si>
    <t>Contains:</t>
  </si>
  <si>
    <t>descriptive statistics, correlation checks, and ranked product tables</t>
  </si>
  <si>
    <t>duplicate count and the fields used to identify duplicates;</t>
  </si>
  <si>
    <t>Current Price</t>
  </si>
  <si>
    <t>Old Price</t>
  </si>
  <si>
    <t>Source Blank Count by Column</t>
  </si>
  <si>
    <t>formula used = COUNT(range)</t>
  </si>
  <si>
    <t>Non Numeric Values</t>
  </si>
  <si>
    <t>Prices</t>
  </si>
  <si>
    <t>Reviews</t>
  </si>
  <si>
    <t>Discounts</t>
  </si>
  <si>
    <t>Ratings</t>
  </si>
  <si>
    <r>
      <t>Source Column Count =</t>
    </r>
    <r>
      <rPr>
        <b/>
        <sz val="11"/>
        <color theme="1"/>
        <rFont val="Aptos Narrow"/>
        <family val="2"/>
        <scheme val="minor"/>
      </rPr>
      <t xml:space="preserve"> 6</t>
    </r>
  </si>
  <si>
    <t>Discounts outside 0%-100% =</t>
  </si>
  <si>
    <t>Ratings Outside 0-5 =</t>
  </si>
  <si>
    <t>Current price greater than Old prices =</t>
  </si>
  <si>
    <r>
      <t>Negative review counts =</t>
    </r>
    <r>
      <rPr>
        <b/>
        <sz val="11"/>
        <color theme="1"/>
        <rFont val="Aptos Narrow"/>
        <family val="2"/>
        <scheme val="minor"/>
      </rPr>
      <t xml:space="preserve"> 57</t>
    </r>
  </si>
  <si>
    <t>Duplicate Counts</t>
  </si>
  <si>
    <t>Price Ranges</t>
  </si>
  <si>
    <r>
      <t>Source Row Count =</t>
    </r>
    <r>
      <rPr>
        <b/>
        <sz val="11"/>
        <color theme="1"/>
        <rFont val="Aptos Narrow"/>
        <family val="2"/>
        <scheme val="minor"/>
      </rPr>
      <t xml:space="preserve"> 115</t>
    </r>
  </si>
  <si>
    <t>Review entries contain negative signs (e.g., -2.0), resulting from web-scraping artifacts.</t>
  </si>
  <si>
    <t>Product row 39 contains price ranges (KSh 1,620 - KSh 1,980 and KSh 2,200 - KSh 3,200).</t>
  </si>
  <si>
    <t>115 Piece Set Of Multifunctional Precision Screwdrivers</t>
  </si>
  <si>
    <t>Anti-Skid Absorbent Insulation Coaster For Home Office</t>
  </si>
  <si>
    <t>Peacock Throw Pillow Cushion Case For Home Car</t>
  </si>
  <si>
    <t>LED Eye Protection Desk Lamp , Study, Reading, USB Fan - Double Pen Holder</t>
  </si>
  <si>
    <t>Intelligent LED Body Sensor Wireless Lighting Night Light USB</t>
  </si>
  <si>
    <t>Used =TRIM() to remove leading,trailing and any double spaces in the product column content</t>
  </si>
  <si>
    <t>Standardize the Current Prices(Column B) using the formula: =VALUE(SUBSTITUTE(SUBSTITUTE(B2,"KSh",""),",",""))</t>
  </si>
  <si>
    <t>Current Price (Current Price): Converted the price range to midpoint using this formula ((1620+1980)/2 = KSh 1,800.00) for the price of  row 40 Cell B40.</t>
  </si>
  <si>
    <t>Standardize the Old Prices(Column C) using the formula: =VALUE(SUBSTITUTE(SUBSTITUTE(C2,"KSh",""),",",""))</t>
  </si>
  <si>
    <t>Old Price (Old Price): Converted the price range to midpoint using this formula (2200+3200)/2 = KSh 2,700.00) for the price of  row 40 Cell C40.</t>
  </si>
  <si>
    <t>Formatted Current Price  cell as KSh #,##0.00)</t>
  </si>
  <si>
    <t>Formatted Old Price  cell as KSh #,##0.00)</t>
  </si>
  <si>
    <t>Discount (Discount): 
=VALUE(SUBSTITUTE(D2,"%",""))/100
(Format cell as 0%)</t>
  </si>
  <si>
    <t/>
  </si>
  <si>
    <t>Rating (Ratingd): Extracted numeric values and left missing ratings blank using the formula
=IF(F2="","",VALUE(SUBSTITUTE(F2," out of 5","")))</t>
  </si>
  <si>
    <t>Reviews (Review): Converted scraping artifacts to absolute values while leaving genuine nulls blank using the formula
=IF(E2="","",ABS(VALUE(E2)))</t>
  </si>
  <si>
    <t>Rating</t>
  </si>
  <si>
    <t>Table Conversion: Selected the cleaned range, pressed Ctrl + T, checked My table has headers, and name it tblProducts.</t>
  </si>
  <si>
    <t>Contains: field definitions, assumptions, thresholds, and a cleaning log</t>
  </si>
  <si>
    <t>Discount Amount</t>
  </si>
  <si>
    <t>New Sections Added</t>
  </si>
  <si>
    <t>Discount Amount: =[@[Old Price]]-[@[Current Price]]</t>
  </si>
  <si>
    <t>Rating Category</t>
  </si>
  <si>
    <t>Rating Category: =IF([@Rating]="","Missing",IF([@Rating]&lt;3,"Poor",IF([@Rating]&lt;=4.5,"Average","Excellent")))</t>
  </si>
  <si>
    <t>Discount Category</t>
  </si>
  <si>
    <t>Discount Category: =IF([@Discount]="","Missing",IF([@Discount]&lt;0.2,"Low Discount",IF([@Discount]&lt;=0.4,"Medium Discount","High Discount")))</t>
  </si>
  <si>
    <t>Price Category =IF([@[Current Price]]="","Missing",IF([@[Current Price]]&lt;=Price_Q1,"Low Price",IF([@[Current Price]]&lt;=Price_Q3,"Medium Price","High Price")))</t>
  </si>
  <si>
    <t>Price Category</t>
  </si>
  <si>
    <t xml:space="preserve">Defined Quartiles </t>
  </si>
  <si>
    <t>Duplicates: 3 full duplicate rows identified</t>
  </si>
  <si>
    <t>Removing 3 full duplicate rows reduces total count to 112 valid products.</t>
  </si>
  <si>
    <t>Validation Check</t>
  </si>
  <si>
    <t>Validation Check : =IF(OR([@Rating]&lt;0,[@Rating]&gt;5),"Check rating",IF(OR([@Discount]&lt;0,[@Discount]&gt;1),"Check discount",IF([@[Current Price]]&gt;[@[Old Price]],"Check prices","OK")))</t>
  </si>
  <si>
    <t>Total Products</t>
  </si>
  <si>
    <t>Average Current Price</t>
  </si>
  <si>
    <t>Average Old Price</t>
  </si>
  <si>
    <t>Average Discount</t>
  </si>
  <si>
    <t>Average Rating</t>
  </si>
  <si>
    <t>Total Reviews</t>
  </si>
  <si>
    <t>Core KPIs</t>
  </si>
  <si>
    <t>Relationship Analysis</t>
  </si>
  <si>
    <t>Discount vs. Reviews</t>
  </si>
  <si>
    <t xml:space="preserve"> this is a Weak negative relationship</t>
  </si>
  <si>
    <t>Rating vs. Reviews</t>
  </si>
  <si>
    <t>this is a Negligible positive correlation</t>
  </si>
  <si>
    <t>Current Price vs. Rating</t>
  </si>
  <si>
    <t>this is a Slight positive correlation</t>
  </si>
  <si>
    <t>Price_Q1</t>
  </si>
  <si>
    <t xml:space="preserve">Price_Q3 </t>
  </si>
  <si>
    <t>Total products</t>
  </si>
  <si>
    <t>=ROWS(tblProducts[Product])</t>
  </si>
  <si>
    <t>Average current price</t>
  </si>
  <si>
    <t>=AVERAGE(tblProducts[Current Price])</t>
  </si>
  <si>
    <t>Average old price</t>
  </si>
  <si>
    <t>=AVERAGE(tblProducts[Old Price])</t>
  </si>
  <si>
    <t>Average discount</t>
  </si>
  <si>
    <t>=AVERAGE(tblProducts[Discount])</t>
  </si>
  <si>
    <t>Average rating</t>
  </si>
  <si>
    <t>=AVERAGE(tblProducts[Rating])</t>
  </si>
  <si>
    <t>Total reviews</t>
  </si>
  <si>
    <t>=SUM(tblProducts[Review])</t>
  </si>
  <si>
    <t>Most expensive price</t>
  </si>
  <si>
    <t>=MAX(tblProducts[Current Price])</t>
  </si>
  <si>
    <t>Least expensive price</t>
  </si>
  <si>
    <t>=MIN(tblProducts[Current Price])</t>
  </si>
  <si>
    <t>Most expensive Price</t>
  </si>
  <si>
    <t>Least expensive Price</t>
  </si>
  <si>
    <t>Some formulas used in the analysis:</t>
  </si>
  <si>
    <t>Row Labels</t>
  </si>
  <si>
    <t>Average</t>
  </si>
  <si>
    <t>Excellent</t>
  </si>
  <si>
    <t>Missing</t>
  </si>
  <si>
    <t>Poor</t>
  </si>
  <si>
    <t>Grand Total</t>
  </si>
  <si>
    <t>(blank)</t>
  </si>
  <si>
    <t>Count of Product</t>
  </si>
  <si>
    <t>Rating Mix</t>
  </si>
  <si>
    <t>High Discount</t>
  </si>
  <si>
    <t>Low Discount</t>
  </si>
  <si>
    <t>Medium Discount</t>
  </si>
  <si>
    <t>Discount Mix</t>
  </si>
  <si>
    <t>Price vs. Rating</t>
  </si>
  <si>
    <t>High Price</t>
  </si>
  <si>
    <t>Low Price</t>
  </si>
  <si>
    <t>Medium Price</t>
  </si>
  <si>
    <t>Average of Rating</t>
  </si>
  <si>
    <t>Engagement by Discount</t>
  </si>
  <si>
    <t>Sum of Review</t>
  </si>
  <si>
    <t>Top 10 Products by Rating</t>
  </si>
  <si>
    <t>Top 10 Products by Reviews</t>
  </si>
  <si>
    <t>Ranked product analysis</t>
  </si>
  <si>
    <t>Top 10 products by discount</t>
  </si>
  <si>
    <t>Average of Discount</t>
  </si>
  <si>
    <t>Top 5 Highest Rated(ties broken by Review Count)</t>
  </si>
  <si>
    <t>Discount (X) vs. Reviews (Y)</t>
  </si>
  <si>
    <t>Rating (X) vs. Reviews (Y)</t>
  </si>
  <si>
    <t>Helper Table 2</t>
  </si>
  <si>
    <t>Helper Table 1</t>
  </si>
  <si>
    <t>Below tables help to creater scatter plots</t>
  </si>
  <si>
    <t>Current Price (X) vs. Rating (Y)</t>
  </si>
  <si>
    <t>Helper Table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</si>
</sst>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KES]\ #,##0.00;[Red][$KES]\ #,##0.00"/>
    <numFmt numFmtId="165" formatCode="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name val="Segoe UI"/>
      <family val="2"/>
    </font>
    <font>
      <b/>
      <u/>
      <sz val="11"/>
      <color theme="1"/>
      <name val="Times New Roman"/>
      <family val="1"/>
    </font>
    <font>
      <b/>
      <sz val="12"/>
      <name val="Times New Roman"/>
      <family val="1"/>
    </font>
    <font>
      <sz val="11"/>
      <color theme="1"/>
      <name val="Times New Roman"/>
      <family val="1"/>
    </font>
    <font>
      <b/>
      <sz val="11"/>
      <color theme="1"/>
      <name val="Times New Roman"/>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39997558519241921"/>
        <bgColor indexed="64"/>
      </patternFill>
    </fill>
    <fill>
      <patternFill patternType="solid">
        <fgColor theme="4" tint="0.39997558519241921"/>
        <bgColor indexed="64"/>
      </patternFill>
    </fill>
    <fill>
      <patternFill patternType="solid">
        <fgColor theme="6" tint="0.39997558519241921"/>
        <bgColor indexed="64"/>
      </patternFill>
    </fill>
    <fill>
      <patternFill patternType="solid">
        <fgColor theme="3" tint="0.749992370372631"/>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4">
    <xf numFmtId="0" fontId="0" fillId="0" borderId="0" xfId="0"/>
    <xf numFmtId="9" fontId="0" fillId="0" borderId="0" xfId="0" applyNumberFormat="1"/>
    <xf numFmtId="0" fontId="21" fillId="0" borderId="0" xfId="0" applyFont="1"/>
    <xf numFmtId="0" fontId="22" fillId="0" borderId="0" xfId="0" applyFont="1"/>
    <xf numFmtId="0" fontId="19" fillId="33" borderId="0" xfId="0" applyFont="1" applyFill="1"/>
    <xf numFmtId="0" fontId="18" fillId="0" borderId="0" xfId="0" applyFont="1" applyAlignment="1">
      <alignment horizontal="left" vertical="center" indent="1"/>
    </xf>
    <xf numFmtId="0" fontId="0" fillId="0" borderId="10" xfId="0" applyBorder="1"/>
    <xf numFmtId="0" fontId="16" fillId="0" borderId="0" xfId="0" applyFont="1"/>
    <xf numFmtId="0" fontId="16" fillId="34" borderId="0" xfId="0" applyFont="1" applyFill="1"/>
    <xf numFmtId="0" fontId="0" fillId="0" borderId="0" xfId="0" applyAlignment="1">
      <alignment wrapText="1"/>
    </xf>
    <xf numFmtId="164" fontId="16" fillId="34" borderId="0" xfId="0" applyNumberFormat="1" applyFont="1" applyFill="1"/>
    <xf numFmtId="164" fontId="0" fillId="0" borderId="0" xfId="0" applyNumberFormat="1"/>
    <xf numFmtId="0" fontId="22" fillId="33" borderId="0" xfId="0" applyFont="1" applyFill="1"/>
    <xf numFmtId="0" fontId="20" fillId="0" borderId="0" xfId="0" applyFont="1" applyAlignment="1">
      <alignment horizontal="center"/>
    </xf>
    <xf numFmtId="165" fontId="22" fillId="0" borderId="0" xfId="0" applyNumberFormat="1" applyFont="1"/>
    <xf numFmtId="2" fontId="22" fillId="0" borderId="0" xfId="0" applyNumberFormat="1" applyFont="1"/>
    <xf numFmtId="0" fontId="0" fillId="0" borderId="0" xfId="0" pivotButton="1"/>
    <xf numFmtId="0" fontId="0" fillId="0" borderId="0" xfId="0" applyAlignment="1">
      <alignment horizontal="left"/>
    </xf>
    <xf numFmtId="0" fontId="16" fillId="0" borderId="0" xfId="0" applyFont="1" applyAlignment="1">
      <alignment horizontal="center"/>
    </xf>
    <xf numFmtId="0" fontId="16" fillId="35" borderId="0" xfId="0" applyFont="1" applyFill="1" applyAlignment="1">
      <alignment horizontal="center"/>
    </xf>
    <xf numFmtId="0" fontId="22" fillId="0" borderId="0" xfId="0" applyFont="1" applyAlignment="1">
      <alignment horizontal="center"/>
    </xf>
    <xf numFmtId="0" fontId="0" fillId="36" borderId="0" xfId="0" applyFill="1"/>
    <xf numFmtId="0" fontId="0" fillId="0" borderId="11" xfId="0" applyBorder="1" applyAlignment="1">
      <alignment horizontal="center"/>
    </xf>
    <xf numFmtId="0" fontId="0" fillId="0" borderId="13" xfId="0" applyBorder="1" applyAlignment="1">
      <alignment horizontal="center"/>
    </xf>
    <xf numFmtId="0" fontId="16" fillId="0" borderId="10" xfId="0" applyFont="1" applyBorder="1" applyAlignment="1">
      <alignment horizontal="center"/>
    </xf>
    <xf numFmtId="0" fontId="16" fillId="0" borderId="11" xfId="0" applyFont="1" applyBorder="1" applyAlignment="1">
      <alignment horizontal="center"/>
    </xf>
    <xf numFmtId="0" fontId="16" fillId="0" borderId="12" xfId="0" applyFont="1" applyBorder="1" applyAlignment="1">
      <alignment horizontal="center"/>
    </xf>
    <xf numFmtId="0" fontId="16" fillId="0" borderId="13" xfId="0" applyFont="1" applyBorder="1" applyAlignment="1">
      <alignment horizontal="center"/>
    </xf>
    <xf numFmtId="0" fontId="20" fillId="34" borderId="0" xfId="0" applyFont="1" applyFill="1" applyAlignment="1">
      <alignment horizontal="center"/>
    </xf>
    <xf numFmtId="0" fontId="20" fillId="33" borderId="0" xfId="0" applyFont="1" applyFill="1" applyAlignment="1">
      <alignment horizontal="center"/>
    </xf>
    <xf numFmtId="0" fontId="22" fillId="0" borderId="0" xfId="0" applyFont="1" applyAlignment="1">
      <alignment horizontal="center"/>
    </xf>
    <xf numFmtId="0" fontId="21" fillId="0" borderId="0" xfId="0" applyFont="1" applyAlignment="1">
      <alignment horizontal="center"/>
    </xf>
    <xf numFmtId="0" fontId="16" fillId="0" borderId="0" xfId="0" applyFont="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numFmt numFmtId="13" formatCode="0%"/>
    </dxf>
    <dxf>
      <numFmt numFmtId="13" formatCode="0%"/>
    </dxf>
    <dxf>
      <numFmt numFmtId="13" formatCode="0%"/>
    </dxf>
    <dxf>
      <numFmt numFmtId="164" formatCode="[$KES]\ #,##0.00;[Red][$KES]\ #,##0.00"/>
    </dxf>
    <dxf>
      <numFmt numFmtId="164" formatCode="[$KES]\ #,##0.00;[Red][$KES]\ #,##0.00"/>
    </dxf>
    <dxf>
      <numFmt numFmtId="164" formatCode="[$KES]\ #,##0.00;[Red][$KES]\ #,##0.00"/>
    </dxf>
    <dxf>
      <font>
        <b/>
        <i val="0"/>
        <strike val="0"/>
        <condense val="0"/>
        <extend val="0"/>
        <outline val="0"/>
        <shadow val="0"/>
        <u val="none"/>
        <vertAlign val="baseline"/>
        <sz val="11"/>
        <color theme="1"/>
        <name val="Aptos Narrow"/>
        <family val="2"/>
        <scheme val="minor"/>
      </font>
      <fill>
        <patternFill patternType="solid">
          <fgColor indexed="64"/>
          <bgColor theme="4" tint="0.39997558519241921"/>
        </patternFill>
      </fill>
    </dxf>
  </dxfs>
  <tableStyles count="0" defaultTableStyle="TableStyleMedium2" defaultPivotStyle="PivotStyleLight16"/>
  <colors>
    <mruColors>
      <color rgb="FF229ED0"/>
      <color rgb="FF1D88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75000"/>
                  </a:schemeClr>
                </a:solidFill>
              </a:rPr>
              <a:t>Discount (X) vs. Reviews (Y)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Analysis!$J$7:$J$63</c:f>
              <c:numCache>
                <c:formatCode>General</c:formatCode>
                <c:ptCount val="57"/>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0.35</c:v>
                </c:pt>
                <c:pt idx="22">
                  <c:v>0.23</c:v>
                </c:pt>
                <c:pt idx="23">
                  <c:v>0.54</c:v>
                </c:pt>
                <c:pt idx="24">
                  <c:v>0.35</c:v>
                </c:pt>
                <c:pt idx="25">
                  <c:v>0.18</c:v>
                </c:pt>
                <c:pt idx="26">
                  <c:v>0.32</c:v>
                </c:pt>
                <c:pt idx="27">
                  <c:v>0.3</c:v>
                </c:pt>
                <c:pt idx="28">
                  <c:v>0.52</c:v>
                </c:pt>
                <c:pt idx="29">
                  <c:v>0.34</c:v>
                </c:pt>
                <c:pt idx="30">
                  <c:v>0.48</c:v>
                </c:pt>
                <c:pt idx="31">
                  <c:v>0.27</c:v>
                </c:pt>
                <c:pt idx="32">
                  <c:v>0.27</c:v>
                </c:pt>
                <c:pt idx="33">
                  <c:v>0.4</c:v>
                </c:pt>
                <c:pt idx="34">
                  <c:v>0.53</c:v>
                </c:pt>
                <c:pt idx="35">
                  <c:v>0.41</c:v>
                </c:pt>
                <c:pt idx="36">
                  <c:v>0.38</c:v>
                </c:pt>
                <c:pt idx="37">
                  <c:v>0.13</c:v>
                </c:pt>
                <c:pt idx="38">
                  <c:v>0.54</c:v>
                </c:pt>
                <c:pt idx="39">
                  <c:v>0.55000000000000004</c:v>
                </c:pt>
                <c:pt idx="40">
                  <c:v>0.49</c:v>
                </c:pt>
                <c:pt idx="41">
                  <c:v>0.52</c:v>
                </c:pt>
                <c:pt idx="42">
                  <c:v>0.22</c:v>
                </c:pt>
                <c:pt idx="43">
                  <c:v>0.45</c:v>
                </c:pt>
                <c:pt idx="44">
                  <c:v>0.5</c:v>
                </c:pt>
                <c:pt idx="45">
                  <c:v>0.39</c:v>
                </c:pt>
                <c:pt idx="46">
                  <c:v>0.45</c:v>
                </c:pt>
                <c:pt idx="47">
                  <c:v>0.28999999999999998</c:v>
                </c:pt>
                <c:pt idx="48">
                  <c:v>0.43</c:v>
                </c:pt>
                <c:pt idx="49">
                  <c:v>0.43</c:v>
                </c:pt>
                <c:pt idx="50">
                  <c:v>0.47</c:v>
                </c:pt>
                <c:pt idx="51">
                  <c:v>0.47</c:v>
                </c:pt>
                <c:pt idx="52">
                  <c:v>0.46</c:v>
                </c:pt>
                <c:pt idx="53">
                  <c:v>0.49</c:v>
                </c:pt>
                <c:pt idx="54">
                  <c:v>0.49</c:v>
                </c:pt>
                <c:pt idx="55">
                  <c:v>0.21</c:v>
                </c:pt>
                <c:pt idx="56">
                  <c:v>0.5</c:v>
                </c:pt>
              </c:numCache>
            </c:numRef>
          </c:xVal>
          <c:yVal>
            <c:numRef>
              <c:f>Analysis!$K$7:$K$63</c:f>
              <c:numCache>
                <c:formatCode>General</c:formatCode>
                <c:ptCount val="57"/>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6</c:v>
                </c:pt>
                <c:pt idx="22">
                  <c:v>14</c:v>
                </c:pt>
                <c:pt idx="23">
                  <c:v>7</c:v>
                </c:pt>
                <c:pt idx="24">
                  <c:v>49</c:v>
                </c:pt>
                <c:pt idx="25">
                  <c:v>12</c:v>
                </c:pt>
                <c:pt idx="26">
                  <c:v>13</c:v>
                </c:pt>
                <c:pt idx="27">
                  <c:v>20</c:v>
                </c:pt>
                <c:pt idx="28">
                  <c:v>9</c:v>
                </c:pt>
                <c:pt idx="29">
                  <c:v>12</c:v>
                </c:pt>
                <c:pt idx="30">
                  <c:v>9</c:v>
                </c:pt>
                <c:pt idx="31">
                  <c:v>20</c:v>
                </c:pt>
                <c:pt idx="32">
                  <c:v>32</c:v>
                </c:pt>
                <c:pt idx="33">
                  <c:v>1</c:v>
                </c:pt>
                <c:pt idx="34">
                  <c:v>2</c:v>
                </c:pt>
                <c:pt idx="35">
                  <c:v>36</c:v>
                </c:pt>
                <c:pt idx="36">
                  <c:v>2</c:v>
                </c:pt>
                <c:pt idx="37">
                  <c:v>6</c:v>
                </c:pt>
                <c:pt idx="38">
                  <c:v>10</c:v>
                </c:pt>
                <c:pt idx="39">
                  <c:v>13</c:v>
                </c:pt>
                <c:pt idx="40">
                  <c:v>69</c:v>
                </c:pt>
                <c:pt idx="41">
                  <c:v>15</c:v>
                </c:pt>
                <c:pt idx="42">
                  <c:v>16</c:v>
                </c:pt>
                <c:pt idx="43">
                  <c:v>6</c:v>
                </c:pt>
                <c:pt idx="44">
                  <c:v>7</c:v>
                </c:pt>
                <c:pt idx="45">
                  <c:v>5</c:v>
                </c:pt>
                <c:pt idx="46">
                  <c:v>17</c:v>
                </c:pt>
                <c:pt idx="47">
                  <c:v>5</c:v>
                </c:pt>
                <c:pt idx="48">
                  <c:v>6</c:v>
                </c:pt>
                <c:pt idx="49">
                  <c:v>5</c:v>
                </c:pt>
                <c:pt idx="50">
                  <c:v>6</c:v>
                </c:pt>
                <c:pt idx="51">
                  <c:v>7</c:v>
                </c:pt>
                <c:pt idx="52">
                  <c:v>1</c:v>
                </c:pt>
                <c:pt idx="53">
                  <c:v>1</c:v>
                </c:pt>
                <c:pt idx="54">
                  <c:v>1</c:v>
                </c:pt>
                <c:pt idx="55">
                  <c:v>1</c:v>
                </c:pt>
                <c:pt idx="56">
                  <c:v>1</c:v>
                </c:pt>
              </c:numCache>
            </c:numRef>
          </c:yVal>
          <c:smooth val="0"/>
          <c:extLst>
            <c:ext xmlns:c16="http://schemas.microsoft.com/office/drawing/2014/chart" uri="{C3380CC4-5D6E-409C-BE32-E72D297353CC}">
              <c16:uniqueId val="{00000000-A7EE-4E25-89FB-0E76B3A0FDC2}"/>
            </c:ext>
          </c:extLst>
        </c:ser>
        <c:dLbls>
          <c:showLegendKey val="0"/>
          <c:showVal val="0"/>
          <c:showCatName val="0"/>
          <c:showSerName val="0"/>
          <c:showPercent val="0"/>
          <c:showBubbleSize val="0"/>
        </c:dLbls>
        <c:axId val="2139542559"/>
        <c:axId val="611205071"/>
      </c:scatterChart>
      <c:valAx>
        <c:axId val="2139542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205071"/>
        <c:crosses val="autoZero"/>
        <c:crossBetween val="midCat"/>
      </c:valAx>
      <c:valAx>
        <c:axId val="611205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5425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75000"/>
                  </a:schemeClr>
                </a:solidFill>
              </a:rPr>
              <a:t>Rating (X) vs. Reviews (Y)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Analysis!$M$7:$M$63</c:f>
              <c:numCache>
                <c:formatCode>General</c:formatCode>
                <c:ptCount val="57"/>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4</c:v>
                </c:pt>
                <c:pt idx="22">
                  <c:v>4.4000000000000004</c:v>
                </c:pt>
                <c:pt idx="23">
                  <c:v>4.3</c:v>
                </c:pt>
                <c:pt idx="24">
                  <c:v>4.5999999999999996</c:v>
                </c:pt>
                <c:pt idx="25">
                  <c:v>3.8</c:v>
                </c:pt>
                <c:pt idx="26">
                  <c:v>3.8</c:v>
                </c:pt>
                <c:pt idx="27">
                  <c:v>4.0999999999999996</c:v>
                </c:pt>
                <c:pt idx="28">
                  <c:v>4.3</c:v>
                </c:pt>
                <c:pt idx="29">
                  <c:v>4.7</c:v>
                </c:pt>
                <c:pt idx="30">
                  <c:v>4.3</c:v>
                </c:pt>
                <c:pt idx="31">
                  <c:v>4.7</c:v>
                </c:pt>
                <c:pt idx="32">
                  <c:v>4.5</c:v>
                </c:pt>
                <c:pt idx="33">
                  <c:v>5</c:v>
                </c:pt>
                <c:pt idx="34">
                  <c:v>5</c:v>
                </c:pt>
                <c:pt idx="35">
                  <c:v>4.3</c:v>
                </c:pt>
                <c:pt idx="36">
                  <c:v>4.5</c:v>
                </c:pt>
                <c:pt idx="37">
                  <c:v>2.5</c:v>
                </c:pt>
                <c:pt idx="38">
                  <c:v>3</c:v>
                </c:pt>
                <c:pt idx="39">
                  <c:v>2.1</c:v>
                </c:pt>
                <c:pt idx="40">
                  <c:v>2.8</c:v>
                </c:pt>
                <c:pt idx="41">
                  <c:v>2.7</c:v>
                </c:pt>
                <c:pt idx="42">
                  <c:v>2.9</c:v>
                </c:pt>
                <c:pt idx="43">
                  <c:v>2.2000000000000002</c:v>
                </c:pt>
                <c:pt idx="44">
                  <c:v>2.2999999999999998</c:v>
                </c:pt>
                <c:pt idx="45">
                  <c:v>3</c:v>
                </c:pt>
                <c:pt idx="46">
                  <c:v>2.6</c:v>
                </c:pt>
                <c:pt idx="47">
                  <c:v>3</c:v>
                </c:pt>
                <c:pt idx="48">
                  <c:v>2.2999999999999998</c:v>
                </c:pt>
                <c:pt idx="49">
                  <c:v>3</c:v>
                </c:pt>
                <c:pt idx="50">
                  <c:v>2.2000000000000002</c:v>
                </c:pt>
                <c:pt idx="51">
                  <c:v>2.1</c:v>
                </c:pt>
                <c:pt idx="52">
                  <c:v>3</c:v>
                </c:pt>
                <c:pt idx="53">
                  <c:v>5</c:v>
                </c:pt>
                <c:pt idx="54">
                  <c:v>4</c:v>
                </c:pt>
                <c:pt idx="55">
                  <c:v>5</c:v>
                </c:pt>
                <c:pt idx="56">
                  <c:v>2</c:v>
                </c:pt>
              </c:numCache>
            </c:numRef>
          </c:xVal>
          <c:yVal>
            <c:numRef>
              <c:f>Analysis!$N$7:$N$63</c:f>
              <c:numCache>
                <c:formatCode>General</c:formatCode>
                <c:ptCount val="57"/>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6</c:v>
                </c:pt>
                <c:pt idx="22">
                  <c:v>14</c:v>
                </c:pt>
                <c:pt idx="23">
                  <c:v>7</c:v>
                </c:pt>
                <c:pt idx="24">
                  <c:v>49</c:v>
                </c:pt>
                <c:pt idx="25">
                  <c:v>12</c:v>
                </c:pt>
                <c:pt idx="26">
                  <c:v>13</c:v>
                </c:pt>
                <c:pt idx="27">
                  <c:v>20</c:v>
                </c:pt>
                <c:pt idx="28">
                  <c:v>9</c:v>
                </c:pt>
                <c:pt idx="29">
                  <c:v>12</c:v>
                </c:pt>
                <c:pt idx="30">
                  <c:v>9</c:v>
                </c:pt>
                <c:pt idx="31">
                  <c:v>20</c:v>
                </c:pt>
                <c:pt idx="32">
                  <c:v>32</c:v>
                </c:pt>
                <c:pt idx="33">
                  <c:v>1</c:v>
                </c:pt>
                <c:pt idx="34">
                  <c:v>2</c:v>
                </c:pt>
                <c:pt idx="35">
                  <c:v>36</c:v>
                </c:pt>
                <c:pt idx="36">
                  <c:v>2</c:v>
                </c:pt>
                <c:pt idx="37">
                  <c:v>6</c:v>
                </c:pt>
                <c:pt idx="38">
                  <c:v>10</c:v>
                </c:pt>
                <c:pt idx="39">
                  <c:v>13</c:v>
                </c:pt>
                <c:pt idx="40">
                  <c:v>69</c:v>
                </c:pt>
                <c:pt idx="41">
                  <c:v>15</c:v>
                </c:pt>
                <c:pt idx="42">
                  <c:v>16</c:v>
                </c:pt>
                <c:pt idx="43">
                  <c:v>6</c:v>
                </c:pt>
                <c:pt idx="44">
                  <c:v>7</c:v>
                </c:pt>
                <c:pt idx="45">
                  <c:v>5</c:v>
                </c:pt>
                <c:pt idx="46">
                  <c:v>17</c:v>
                </c:pt>
                <c:pt idx="47">
                  <c:v>5</c:v>
                </c:pt>
                <c:pt idx="48">
                  <c:v>6</c:v>
                </c:pt>
                <c:pt idx="49">
                  <c:v>5</c:v>
                </c:pt>
                <c:pt idx="50">
                  <c:v>6</c:v>
                </c:pt>
                <c:pt idx="51">
                  <c:v>7</c:v>
                </c:pt>
                <c:pt idx="52">
                  <c:v>1</c:v>
                </c:pt>
                <c:pt idx="53">
                  <c:v>1</c:v>
                </c:pt>
                <c:pt idx="54">
                  <c:v>1</c:v>
                </c:pt>
                <c:pt idx="55">
                  <c:v>1</c:v>
                </c:pt>
                <c:pt idx="56">
                  <c:v>1</c:v>
                </c:pt>
              </c:numCache>
            </c:numRef>
          </c:yVal>
          <c:smooth val="0"/>
          <c:extLst>
            <c:ext xmlns:c16="http://schemas.microsoft.com/office/drawing/2014/chart" uri="{C3380CC4-5D6E-409C-BE32-E72D297353CC}">
              <c16:uniqueId val="{00000000-0C89-4A0C-9460-0C5719D5E836}"/>
            </c:ext>
          </c:extLst>
        </c:ser>
        <c:dLbls>
          <c:showLegendKey val="0"/>
          <c:showVal val="0"/>
          <c:showCatName val="0"/>
          <c:showSerName val="0"/>
          <c:showPercent val="0"/>
          <c:showBubbleSize val="0"/>
        </c:dLbls>
        <c:axId val="498625743"/>
        <c:axId val="633946671"/>
      </c:scatterChart>
      <c:valAx>
        <c:axId val="498625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946671"/>
        <c:crosses val="autoZero"/>
        <c:crossBetween val="midCat"/>
      </c:valAx>
      <c:valAx>
        <c:axId val="63394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6257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75000"/>
                  </a:schemeClr>
                </a:solidFill>
              </a:rPr>
              <a:t>Current Price (X) vs. Rating (Y)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Analysis!$Q$7:$Q$63</c:f>
              <c:numCache>
                <c:formatCode>General</c:formatCode>
                <c:ptCount val="57"/>
                <c:pt idx="0">
                  <c:v>950</c:v>
                </c:pt>
                <c:pt idx="1">
                  <c:v>527</c:v>
                </c:pt>
                <c:pt idx="2">
                  <c:v>2199</c:v>
                </c:pt>
                <c:pt idx="3">
                  <c:v>1580</c:v>
                </c:pt>
                <c:pt idx="4">
                  <c:v>1740</c:v>
                </c:pt>
                <c:pt idx="5">
                  <c:v>2999</c:v>
                </c:pt>
                <c:pt idx="6">
                  <c:v>2319</c:v>
                </c:pt>
                <c:pt idx="7">
                  <c:v>988</c:v>
                </c:pt>
                <c:pt idx="8">
                  <c:v>1274</c:v>
                </c:pt>
                <c:pt idx="9">
                  <c:v>1600</c:v>
                </c:pt>
                <c:pt idx="10">
                  <c:v>799</c:v>
                </c:pt>
                <c:pt idx="11">
                  <c:v>990</c:v>
                </c:pt>
                <c:pt idx="12">
                  <c:v>552</c:v>
                </c:pt>
                <c:pt idx="13">
                  <c:v>501</c:v>
                </c:pt>
                <c:pt idx="14">
                  <c:v>1680</c:v>
                </c:pt>
                <c:pt idx="15">
                  <c:v>332</c:v>
                </c:pt>
                <c:pt idx="16">
                  <c:v>195</c:v>
                </c:pt>
                <c:pt idx="17">
                  <c:v>2025</c:v>
                </c:pt>
                <c:pt idx="18">
                  <c:v>2999</c:v>
                </c:pt>
                <c:pt idx="19">
                  <c:v>998</c:v>
                </c:pt>
                <c:pt idx="20">
                  <c:v>38</c:v>
                </c:pt>
                <c:pt idx="21">
                  <c:v>880</c:v>
                </c:pt>
                <c:pt idx="22">
                  <c:v>1650</c:v>
                </c:pt>
                <c:pt idx="23">
                  <c:v>2048</c:v>
                </c:pt>
                <c:pt idx="24">
                  <c:v>420</c:v>
                </c:pt>
                <c:pt idx="25">
                  <c:v>2880</c:v>
                </c:pt>
                <c:pt idx="26">
                  <c:v>1350</c:v>
                </c:pt>
                <c:pt idx="27">
                  <c:v>1758</c:v>
                </c:pt>
                <c:pt idx="28">
                  <c:v>185</c:v>
                </c:pt>
                <c:pt idx="29">
                  <c:v>980</c:v>
                </c:pt>
                <c:pt idx="30">
                  <c:v>1820</c:v>
                </c:pt>
                <c:pt idx="31">
                  <c:v>1940</c:v>
                </c:pt>
                <c:pt idx="32">
                  <c:v>1980</c:v>
                </c:pt>
                <c:pt idx="33">
                  <c:v>1620</c:v>
                </c:pt>
                <c:pt idx="34">
                  <c:v>171</c:v>
                </c:pt>
                <c:pt idx="35">
                  <c:v>389</c:v>
                </c:pt>
                <c:pt idx="36">
                  <c:v>1800</c:v>
                </c:pt>
                <c:pt idx="37">
                  <c:v>2170</c:v>
                </c:pt>
                <c:pt idx="38">
                  <c:v>458</c:v>
                </c:pt>
                <c:pt idx="39">
                  <c:v>2115</c:v>
                </c:pt>
                <c:pt idx="40">
                  <c:v>445</c:v>
                </c:pt>
                <c:pt idx="41">
                  <c:v>325</c:v>
                </c:pt>
                <c:pt idx="42">
                  <c:v>1220</c:v>
                </c:pt>
                <c:pt idx="43">
                  <c:v>990</c:v>
                </c:pt>
                <c:pt idx="44">
                  <c:v>1000</c:v>
                </c:pt>
                <c:pt idx="45">
                  <c:v>3750</c:v>
                </c:pt>
                <c:pt idx="46">
                  <c:v>382</c:v>
                </c:pt>
                <c:pt idx="47">
                  <c:v>2300</c:v>
                </c:pt>
                <c:pt idx="48">
                  <c:v>345</c:v>
                </c:pt>
                <c:pt idx="49">
                  <c:v>509</c:v>
                </c:pt>
                <c:pt idx="50">
                  <c:v>968</c:v>
                </c:pt>
                <c:pt idx="51">
                  <c:v>1570</c:v>
                </c:pt>
                <c:pt idx="52">
                  <c:v>1189</c:v>
                </c:pt>
                <c:pt idx="53">
                  <c:v>979</c:v>
                </c:pt>
                <c:pt idx="54">
                  <c:v>330</c:v>
                </c:pt>
                <c:pt idx="55">
                  <c:v>3640</c:v>
                </c:pt>
                <c:pt idx="56">
                  <c:v>450</c:v>
                </c:pt>
              </c:numCache>
            </c:numRef>
          </c:xVal>
          <c:yVal>
            <c:numRef>
              <c:f>Analysis!$R$7:$R$63</c:f>
              <c:numCache>
                <c:formatCode>General</c:formatCode>
                <c:ptCount val="57"/>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4</c:v>
                </c:pt>
                <c:pt idx="22">
                  <c:v>4.4000000000000004</c:v>
                </c:pt>
                <c:pt idx="23">
                  <c:v>4.3</c:v>
                </c:pt>
                <c:pt idx="24">
                  <c:v>4.5999999999999996</c:v>
                </c:pt>
                <c:pt idx="25">
                  <c:v>3.8</c:v>
                </c:pt>
                <c:pt idx="26">
                  <c:v>3.8</c:v>
                </c:pt>
                <c:pt idx="27">
                  <c:v>4.0999999999999996</c:v>
                </c:pt>
                <c:pt idx="28">
                  <c:v>4.3</c:v>
                </c:pt>
                <c:pt idx="29">
                  <c:v>4.7</c:v>
                </c:pt>
                <c:pt idx="30">
                  <c:v>4.3</c:v>
                </c:pt>
                <c:pt idx="31">
                  <c:v>4.7</c:v>
                </c:pt>
                <c:pt idx="32">
                  <c:v>4.5</c:v>
                </c:pt>
                <c:pt idx="33">
                  <c:v>5</c:v>
                </c:pt>
                <c:pt idx="34">
                  <c:v>5</c:v>
                </c:pt>
                <c:pt idx="35">
                  <c:v>4.3</c:v>
                </c:pt>
                <c:pt idx="36">
                  <c:v>4.5</c:v>
                </c:pt>
                <c:pt idx="37">
                  <c:v>2.5</c:v>
                </c:pt>
                <c:pt idx="38">
                  <c:v>3</c:v>
                </c:pt>
                <c:pt idx="39">
                  <c:v>2.1</c:v>
                </c:pt>
                <c:pt idx="40">
                  <c:v>2.8</c:v>
                </c:pt>
                <c:pt idx="41">
                  <c:v>2.7</c:v>
                </c:pt>
                <c:pt idx="42">
                  <c:v>2.9</c:v>
                </c:pt>
                <c:pt idx="43">
                  <c:v>2.2000000000000002</c:v>
                </c:pt>
                <c:pt idx="44">
                  <c:v>2.2999999999999998</c:v>
                </c:pt>
                <c:pt idx="45">
                  <c:v>3</c:v>
                </c:pt>
                <c:pt idx="46">
                  <c:v>2.6</c:v>
                </c:pt>
                <c:pt idx="47">
                  <c:v>3</c:v>
                </c:pt>
                <c:pt idx="48">
                  <c:v>2.2999999999999998</c:v>
                </c:pt>
                <c:pt idx="49">
                  <c:v>3</c:v>
                </c:pt>
                <c:pt idx="50">
                  <c:v>2.2000000000000002</c:v>
                </c:pt>
                <c:pt idx="51">
                  <c:v>2.1</c:v>
                </c:pt>
                <c:pt idx="52">
                  <c:v>3</c:v>
                </c:pt>
                <c:pt idx="53">
                  <c:v>5</c:v>
                </c:pt>
                <c:pt idx="54">
                  <c:v>4</c:v>
                </c:pt>
                <c:pt idx="55">
                  <c:v>5</c:v>
                </c:pt>
                <c:pt idx="56">
                  <c:v>2</c:v>
                </c:pt>
              </c:numCache>
            </c:numRef>
          </c:yVal>
          <c:smooth val="0"/>
          <c:extLst>
            <c:ext xmlns:c16="http://schemas.microsoft.com/office/drawing/2014/chart" uri="{C3380CC4-5D6E-409C-BE32-E72D297353CC}">
              <c16:uniqueId val="{00000000-49E3-4E95-B568-45BE43899AF5}"/>
            </c:ext>
          </c:extLst>
        </c:ser>
        <c:dLbls>
          <c:showLegendKey val="0"/>
          <c:showVal val="0"/>
          <c:showCatName val="0"/>
          <c:showSerName val="0"/>
          <c:showPercent val="0"/>
          <c:showBubbleSize val="0"/>
        </c:dLbls>
        <c:axId val="578882799"/>
        <c:axId val="611133071"/>
      </c:scatterChart>
      <c:valAx>
        <c:axId val="578882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33071"/>
        <c:crosses val="autoZero"/>
        <c:crossBetween val="midCat"/>
      </c:valAx>
      <c:valAx>
        <c:axId val="611133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827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[jumia_product_dashboard.xlsx]Pivot_Tables!PivotTable4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Pivot_Tables!$I$9</c:f>
              <c:strCache>
                <c:ptCount val="1"/>
                <c:pt idx="0">
                  <c:v>Total</c:v>
                </c:pt>
              </c:strCache>
            </c:strRef>
          </c:tx>
          <c:spPr>
            <a:solidFill>
              <a:schemeClr val="accent1"/>
            </a:solidFill>
            <a:ln>
              <a:noFill/>
            </a:ln>
            <a:effectLst/>
          </c:spPr>
          <c:invertIfNegative val="0"/>
          <c:cat>
            <c:strRef>
              <c:f>Pivot_Tables!$H$10:$H$14</c:f>
              <c:strCache>
                <c:ptCount val="4"/>
                <c:pt idx="0">
                  <c:v>High Discount</c:v>
                </c:pt>
                <c:pt idx="1">
                  <c:v>Low Discount</c:v>
                </c:pt>
                <c:pt idx="2">
                  <c:v>Medium Discount</c:v>
                </c:pt>
                <c:pt idx="3">
                  <c:v>(blank)</c:v>
                </c:pt>
              </c:strCache>
            </c:strRef>
          </c:cat>
          <c:val>
            <c:numRef>
              <c:f>Pivot_Tables!$I$10:$I$14</c:f>
              <c:numCache>
                <c:formatCode>General</c:formatCode>
                <c:ptCount val="4"/>
                <c:pt idx="0">
                  <c:v>62</c:v>
                </c:pt>
                <c:pt idx="1">
                  <c:v>18</c:v>
                </c:pt>
                <c:pt idx="2">
                  <c:v>32</c:v>
                </c:pt>
              </c:numCache>
            </c:numRef>
          </c:val>
          <c:extLst>
            <c:ext xmlns:c16="http://schemas.microsoft.com/office/drawing/2014/chart" uri="{C3380CC4-5D6E-409C-BE32-E72D297353CC}">
              <c16:uniqueId val="{00000000-C24D-42EE-8B1E-32E21148F7B1}"/>
            </c:ext>
          </c:extLst>
        </c:ser>
        <c:dLbls>
          <c:showLegendKey val="0"/>
          <c:showVal val="0"/>
          <c:showCatName val="0"/>
          <c:showSerName val="0"/>
          <c:showPercent val="0"/>
          <c:showBubbleSize val="0"/>
        </c:dLbls>
        <c:gapWidth val="219"/>
        <c:overlap val="-27"/>
        <c:axId val="1132026479"/>
        <c:axId val="379428015"/>
      </c:barChart>
      <c:catAx>
        <c:axId val="113202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28015"/>
        <c:crosses val="autoZero"/>
        <c:auto val="1"/>
        <c:lblAlgn val="ctr"/>
        <c:lblOffset val="100"/>
        <c:noMultiLvlLbl val="0"/>
      </c:catAx>
      <c:valAx>
        <c:axId val="37942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02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[jumia_product_dashboard.xlsx]Pivot_Tables!PivotTable5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Price vs.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Pivot_Tables!$O$17</c:f>
              <c:strCache>
                <c:ptCount val="1"/>
                <c:pt idx="0">
                  <c:v>Total</c:v>
                </c:pt>
              </c:strCache>
            </c:strRef>
          </c:tx>
          <c:spPr>
            <a:solidFill>
              <a:schemeClr val="accent1"/>
            </a:solidFill>
            <a:ln>
              <a:noFill/>
            </a:ln>
            <a:effectLst/>
          </c:spPr>
          <c:invertIfNegative val="0"/>
          <c:cat>
            <c:strRef>
              <c:f>Pivot_Tables!$N$18:$N$22</c:f>
              <c:strCache>
                <c:ptCount val="4"/>
                <c:pt idx="0">
                  <c:v>High Price</c:v>
                </c:pt>
                <c:pt idx="1">
                  <c:v>Low Price</c:v>
                </c:pt>
                <c:pt idx="2">
                  <c:v>Medium Price</c:v>
                </c:pt>
                <c:pt idx="3">
                  <c:v>(blank)</c:v>
                </c:pt>
              </c:strCache>
            </c:strRef>
          </c:cat>
          <c:val>
            <c:numRef>
              <c:f>Pivot_Tables!$O$18:$O$22</c:f>
              <c:numCache>
                <c:formatCode>General</c:formatCode>
                <c:ptCount val="4"/>
                <c:pt idx="0">
                  <c:v>4.0842105263157888</c:v>
                </c:pt>
                <c:pt idx="1">
                  <c:v>3.6357142857142857</c:v>
                </c:pt>
                <c:pt idx="2">
                  <c:v>3.8833333333333333</c:v>
                </c:pt>
              </c:numCache>
            </c:numRef>
          </c:val>
          <c:extLst>
            <c:ext xmlns:c16="http://schemas.microsoft.com/office/drawing/2014/chart" uri="{C3380CC4-5D6E-409C-BE32-E72D297353CC}">
              <c16:uniqueId val="{00000000-E5F6-4014-88C4-FD8A1CFD685E}"/>
            </c:ext>
          </c:extLst>
        </c:ser>
        <c:dLbls>
          <c:showLegendKey val="0"/>
          <c:showVal val="0"/>
          <c:showCatName val="0"/>
          <c:showSerName val="0"/>
          <c:showPercent val="0"/>
          <c:showBubbleSize val="0"/>
        </c:dLbls>
        <c:gapWidth val="219"/>
        <c:overlap val="-27"/>
        <c:axId val="373102575"/>
        <c:axId val="379420335"/>
      </c:barChart>
      <c:catAx>
        <c:axId val="3731025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20335"/>
        <c:crosses val="autoZero"/>
        <c:auto val="1"/>
        <c:lblAlgn val="ctr"/>
        <c:lblOffset val="100"/>
        <c:noMultiLvlLbl val="0"/>
      </c:catAx>
      <c:valAx>
        <c:axId val="379420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310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[jumia_product_dashboard.xlsx]Pivot_Tables!PivotTable6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Engagement by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Pivot_Tables!$C$31</c:f>
              <c:strCache>
                <c:ptCount val="1"/>
                <c:pt idx="0">
                  <c:v>Total</c:v>
                </c:pt>
              </c:strCache>
            </c:strRef>
          </c:tx>
          <c:spPr>
            <a:solidFill>
              <a:schemeClr val="accent1"/>
            </a:solidFill>
            <a:ln>
              <a:noFill/>
            </a:ln>
            <a:effectLst/>
          </c:spPr>
          <c:invertIfNegative val="0"/>
          <c:cat>
            <c:strRef>
              <c:f>Pivot_Tables!$B$32:$B$36</c:f>
              <c:strCache>
                <c:ptCount val="4"/>
                <c:pt idx="0">
                  <c:v>High Discount</c:v>
                </c:pt>
                <c:pt idx="1">
                  <c:v>Low Discount</c:v>
                </c:pt>
                <c:pt idx="2">
                  <c:v>Medium Discount</c:v>
                </c:pt>
                <c:pt idx="3">
                  <c:v>(blank)</c:v>
                </c:pt>
              </c:strCache>
            </c:strRef>
          </c:cat>
          <c:val>
            <c:numRef>
              <c:f>Pivot_Tables!$C$32:$C$36</c:f>
              <c:numCache>
                <c:formatCode>General</c:formatCode>
                <c:ptCount val="4"/>
                <c:pt idx="0">
                  <c:v>334</c:v>
                </c:pt>
                <c:pt idx="1">
                  <c:v>38</c:v>
                </c:pt>
                <c:pt idx="2">
                  <c:v>351</c:v>
                </c:pt>
              </c:numCache>
            </c:numRef>
          </c:val>
          <c:extLst>
            <c:ext xmlns:c16="http://schemas.microsoft.com/office/drawing/2014/chart" uri="{C3380CC4-5D6E-409C-BE32-E72D297353CC}">
              <c16:uniqueId val="{00000000-B315-41E5-A772-CE7A4503A2C7}"/>
            </c:ext>
          </c:extLst>
        </c:ser>
        <c:dLbls>
          <c:showLegendKey val="0"/>
          <c:showVal val="0"/>
          <c:showCatName val="0"/>
          <c:showSerName val="0"/>
          <c:showPercent val="0"/>
          <c:showBubbleSize val="0"/>
        </c:dLbls>
        <c:gapWidth val="219"/>
        <c:overlap val="-27"/>
        <c:axId val="351212543"/>
        <c:axId val="379356015"/>
      </c:barChart>
      <c:catAx>
        <c:axId val="351212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356015"/>
        <c:crosses val="autoZero"/>
        <c:auto val="1"/>
        <c:lblAlgn val="ctr"/>
        <c:lblOffset val="100"/>
        <c:noMultiLvlLbl val="0"/>
      </c:catAx>
      <c:valAx>
        <c:axId val="379356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2125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[jumia_product_dashboard.xlsx]Pivot_Tables!PivotTable7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Pivot_Tables!$I$23</c:f>
              <c:strCache>
                <c:ptCount val="1"/>
                <c:pt idx="0">
                  <c:v>Total</c:v>
                </c:pt>
              </c:strCache>
            </c:strRef>
          </c:tx>
          <c:spPr>
            <a:solidFill>
              <a:schemeClr val="accent1"/>
            </a:solidFill>
            <a:ln>
              <a:noFill/>
            </a:ln>
            <a:effectLst/>
          </c:spPr>
          <c:invertIfNegative val="0"/>
          <c:cat>
            <c:strRef>
              <c:f>Pivot_Tables!$H$24:$H$34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Pivot_Tables!$I$24:$I$34</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CB2F-4B74-894B-652CC4185C9B}"/>
            </c:ext>
          </c:extLst>
        </c:ser>
        <c:dLbls>
          <c:showLegendKey val="0"/>
          <c:showVal val="0"/>
          <c:showCatName val="0"/>
          <c:showSerName val="0"/>
          <c:showPercent val="0"/>
          <c:showBubbleSize val="0"/>
        </c:dLbls>
        <c:gapWidth val="182"/>
        <c:axId val="1181734591"/>
        <c:axId val="379363695"/>
      </c:barChart>
      <c:catAx>
        <c:axId val="1181734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363695"/>
        <c:crosses val="autoZero"/>
        <c:auto val="1"/>
        <c:lblAlgn val="ctr"/>
        <c:lblOffset val="100"/>
        <c:noMultiLvlLbl val="0"/>
      </c:catAx>
      <c:valAx>
        <c:axId val="379363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73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[jumia_product_dashboard.xlsx]Pivot_Tables!PivotTable8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Reviews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Pivot_Tables!$O$31</c:f>
              <c:strCache>
                <c:ptCount val="1"/>
                <c:pt idx="0">
                  <c:v>Total</c:v>
                </c:pt>
              </c:strCache>
            </c:strRef>
          </c:tx>
          <c:spPr>
            <a:solidFill>
              <a:schemeClr val="accent1"/>
            </a:solidFill>
            <a:ln>
              <a:noFill/>
            </a:ln>
            <a:effectLst/>
          </c:spPr>
          <c:invertIfNegative val="0"/>
          <c:cat>
            <c:strRef>
              <c:f>Pivot_Tables!$N$32:$N$42</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Pivot_Tables!$O$32:$O$42</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2D5A-4170-ADE4-DE7A29C4333E}"/>
            </c:ext>
          </c:extLst>
        </c:ser>
        <c:dLbls>
          <c:showLegendKey val="0"/>
          <c:showVal val="0"/>
          <c:showCatName val="0"/>
          <c:showSerName val="0"/>
          <c:showPercent val="0"/>
          <c:showBubbleSize val="0"/>
        </c:dLbls>
        <c:gapWidth val="182"/>
        <c:axId val="1132037151"/>
        <c:axId val="379414095"/>
      </c:barChart>
      <c:catAx>
        <c:axId val="113203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14095"/>
        <c:crosses val="autoZero"/>
        <c:auto val="1"/>
        <c:lblAlgn val="ctr"/>
        <c:lblOffset val="100"/>
        <c:noMultiLvlLbl val="0"/>
      </c:catAx>
      <c:valAx>
        <c:axId val="379414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03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[jumia_product_dashboard.xlsx]Pivot_Tables!PivotTable10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Pivot_Tables!$I$39</c:f>
              <c:strCache>
                <c:ptCount val="1"/>
                <c:pt idx="0">
                  <c:v>Total</c:v>
                </c:pt>
              </c:strCache>
            </c:strRef>
          </c:tx>
          <c:spPr>
            <a:solidFill>
              <a:schemeClr val="accent1"/>
            </a:solidFill>
            <a:ln>
              <a:noFill/>
            </a:ln>
            <a:effectLst/>
          </c:spPr>
          <c:invertIfNegative val="0"/>
          <c:cat>
            <c:strRef>
              <c:f>Pivot_Tables!$H$40:$H$50</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Pivot_Tables!$I$40:$I$50</c:f>
              <c:numCache>
                <c:formatCode>General</c:formatCode>
                <c:ptCount val="10"/>
                <c:pt idx="0">
                  <c:v>0.53</c:v>
                </c:pt>
                <c:pt idx="1">
                  <c:v>0.55000000000000004</c:v>
                </c:pt>
                <c:pt idx="2">
                  <c:v>0.64</c:v>
                </c:pt>
                <c:pt idx="3">
                  <c:v>0.53</c:v>
                </c:pt>
                <c:pt idx="4">
                  <c:v>0.55000000000000004</c:v>
                </c:pt>
                <c:pt idx="5">
                  <c:v>0.52</c:v>
                </c:pt>
                <c:pt idx="6">
                  <c:v>0.52</c:v>
                </c:pt>
                <c:pt idx="7">
                  <c:v>0.54</c:v>
                </c:pt>
                <c:pt idx="8">
                  <c:v>0.55000000000000004</c:v>
                </c:pt>
                <c:pt idx="9">
                  <c:v>0.54</c:v>
                </c:pt>
              </c:numCache>
            </c:numRef>
          </c:val>
          <c:extLst>
            <c:ext xmlns:c16="http://schemas.microsoft.com/office/drawing/2014/chart" uri="{C3380CC4-5D6E-409C-BE32-E72D297353CC}">
              <c16:uniqueId val="{00000000-6202-41E5-92C5-56027A137783}"/>
            </c:ext>
          </c:extLst>
        </c:ser>
        <c:dLbls>
          <c:showLegendKey val="0"/>
          <c:showVal val="0"/>
          <c:showCatName val="0"/>
          <c:showSerName val="0"/>
          <c:showPercent val="0"/>
          <c:showBubbleSize val="0"/>
        </c:dLbls>
        <c:gapWidth val="182"/>
        <c:axId val="385127087"/>
        <c:axId val="379398735"/>
      </c:barChart>
      <c:catAx>
        <c:axId val="385127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398735"/>
        <c:crosses val="autoZero"/>
        <c:auto val="1"/>
        <c:lblAlgn val="ctr"/>
        <c:lblOffset val="100"/>
        <c:noMultiLvlLbl val="0"/>
      </c:catAx>
      <c:valAx>
        <c:axId val="379398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12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[jumia_product_dashboard.xlsx]Pivot_Tables!PivotTable3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Pivot_Tables!$C$17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99C-434D-BE67-6166EDAA278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99C-434D-BE67-6166EDAA278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99C-434D-BE67-6166EDAA278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99C-434D-BE67-6166EDAA278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99C-434D-BE67-6166EDAA2786}"/>
              </c:ext>
            </c:extLst>
          </c:dPt>
          <c:cat>
            <c:strRef>
              <c:f>Pivot_Tables!$B$18:$B$23</c:f>
              <c:strCache>
                <c:ptCount val="5"/>
                <c:pt idx="0">
                  <c:v>Average</c:v>
                </c:pt>
                <c:pt idx="1">
                  <c:v>Excellent</c:v>
                </c:pt>
                <c:pt idx="2">
                  <c:v>Missing</c:v>
                </c:pt>
                <c:pt idx="3">
                  <c:v>Poor</c:v>
                </c:pt>
                <c:pt idx="4">
                  <c:v>(blank)</c:v>
                </c:pt>
              </c:strCache>
            </c:strRef>
          </c:cat>
          <c:val>
            <c:numRef>
              <c:f>Pivot_Tables!$C$18:$C$23</c:f>
              <c:numCache>
                <c:formatCode>General</c:formatCode>
                <c:ptCount val="5"/>
                <c:pt idx="0">
                  <c:v>26</c:v>
                </c:pt>
                <c:pt idx="1">
                  <c:v>19</c:v>
                </c:pt>
                <c:pt idx="2">
                  <c:v>55</c:v>
                </c:pt>
                <c:pt idx="3">
                  <c:v>12</c:v>
                </c:pt>
              </c:numCache>
            </c:numRef>
          </c:val>
          <c:extLst>
            <c:ext xmlns:c16="http://schemas.microsoft.com/office/drawing/2014/chart" uri="{C3380CC4-5D6E-409C-BE32-E72D297353CC}">
              <c16:uniqueId val="{00000000-2D24-4E5C-AF92-A121BB89C0D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[jumia_product_dashboard.xlsx]Pivot_Tables!PivotTable7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Pivot_Tables!$I$23</c:f>
              <c:strCache>
                <c:ptCount val="1"/>
                <c:pt idx="0">
                  <c:v>Total</c:v>
                </c:pt>
              </c:strCache>
            </c:strRef>
          </c:tx>
          <c:spPr>
            <a:solidFill>
              <a:schemeClr val="accent1"/>
            </a:solidFill>
            <a:ln>
              <a:noFill/>
            </a:ln>
            <a:effectLst/>
          </c:spPr>
          <c:invertIfNegative val="0"/>
          <c:cat>
            <c:strRef>
              <c:f>Pivot_Tables!$H$24:$H$34</c:f>
              <c:strCache>
                <c:ptCount val="10"/>
                <c:pt idx="0">
                  <c:v>40cm Gold DIY Acrylic Wall Sticker Clock</c:v>
                </c:pt>
                <c:pt idx="1">
                  <c:v>Anti-Skid Absorbent Insulation Coaster For Home Office</c:v>
                </c:pt>
                <c:pt idx="2">
                  <c:v>Bedroom Simple Floor Hanging Clothes Rack Single Pole Hat Rack - White</c:v>
                </c:pt>
                <c:pt idx="3">
                  <c:v>Classic Black Cat Cotton Hemp Pillow Case For Home Car</c:v>
                </c:pt>
                <c:pt idx="4">
                  <c:v>DIY File Folder, Office Drawer File Holder, Pen Holder, Desktop Storage Rack</c:v>
                </c:pt>
                <c:pt idx="5">
                  <c:v>Konka Healty Electric Kettle, 24-hour Heat Preservation,1.5L,800W, White</c:v>
                </c:pt>
                <c:pt idx="6">
                  <c:v>LASA Aluminum Folding Truck Hand Cart - 68kg Max</c:v>
                </c:pt>
                <c:pt idx="7">
                  <c:v>LASA FOLDING TABLE SERVING STAND</c:v>
                </c:pt>
                <c:pt idx="8">
                  <c:v>Peacock Throw Pillow Cushion Case For Home Car</c:v>
                </c:pt>
                <c:pt idx="9">
                  <c:v>Portable Home Small Air Humidifier 3-Speed Fan - Green</c:v>
                </c:pt>
              </c:strCache>
            </c:strRef>
          </c:cat>
          <c:val>
            <c:numRef>
              <c:f>Pivot_Tables!$I$24:$I$34</c:f>
              <c:numCache>
                <c:formatCode>General</c:formatCode>
                <c:ptCount val="10"/>
                <c:pt idx="0">
                  <c:v>4.8</c:v>
                </c:pt>
                <c:pt idx="1">
                  <c:v>5</c:v>
                </c:pt>
                <c:pt idx="2">
                  <c:v>5</c:v>
                </c:pt>
                <c:pt idx="3">
                  <c:v>5</c:v>
                </c:pt>
                <c:pt idx="4">
                  <c:v>5</c:v>
                </c:pt>
                <c:pt idx="5">
                  <c:v>5</c:v>
                </c:pt>
                <c:pt idx="6">
                  <c:v>5</c:v>
                </c:pt>
                <c:pt idx="7">
                  <c:v>4.8</c:v>
                </c:pt>
                <c:pt idx="8">
                  <c:v>5</c:v>
                </c:pt>
                <c:pt idx="9">
                  <c:v>4.8</c:v>
                </c:pt>
              </c:numCache>
            </c:numRef>
          </c:val>
          <c:extLst>
            <c:ext xmlns:c16="http://schemas.microsoft.com/office/drawing/2014/chart" uri="{C3380CC4-5D6E-409C-BE32-E72D297353CC}">
              <c16:uniqueId val="{00000000-AAAF-4628-8EB8-67DC87CFA6D6}"/>
            </c:ext>
          </c:extLst>
        </c:ser>
        <c:dLbls>
          <c:showLegendKey val="0"/>
          <c:showVal val="0"/>
          <c:showCatName val="0"/>
          <c:showSerName val="0"/>
          <c:showPercent val="0"/>
          <c:showBubbleSize val="0"/>
        </c:dLbls>
        <c:gapWidth val="182"/>
        <c:axId val="1181734591"/>
        <c:axId val="379363695"/>
      </c:barChart>
      <c:catAx>
        <c:axId val="1181734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363695"/>
        <c:crosses val="autoZero"/>
        <c:auto val="1"/>
        <c:lblAlgn val="ctr"/>
        <c:lblOffset val="100"/>
        <c:noMultiLvlLbl val="0"/>
      </c:catAx>
      <c:valAx>
        <c:axId val="3793636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7345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[jumia_product_dashboard.xlsx]Pivot_Tables!PivotTable8</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Reviews</a:t>
            </a:r>
          </a:p>
        </c:rich>
      </c:tx>
      <c:layout>
        <c:manualLayout>
          <c:xMode val="edge"/>
          <c:yMode val="edge"/>
          <c:x val="0.25967836796826349"/>
          <c:y val="8.50585742733705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Pivot_Tables!$O$31</c:f>
              <c:strCache>
                <c:ptCount val="1"/>
                <c:pt idx="0">
                  <c:v>Total</c:v>
                </c:pt>
              </c:strCache>
            </c:strRef>
          </c:tx>
          <c:spPr>
            <a:solidFill>
              <a:schemeClr val="accent1"/>
            </a:solidFill>
            <a:ln>
              <a:noFill/>
            </a:ln>
            <a:effectLst/>
          </c:spPr>
          <c:invertIfNegative val="0"/>
          <c:cat>
            <c:strRef>
              <c:f>Pivot_Tables!$N$32:$N$42</c:f>
              <c:strCache>
                <c:ptCount val="10"/>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52 Pieces Cake Decorating Tool Set Gift Kit Baking Supplies</c:v>
                </c:pt>
                <c:pt idx="5">
                  <c:v>53 Pieces/Set Yarn Knitting Crochet Hooks With Bag - Pansies</c:v>
                </c:pt>
                <c:pt idx="6">
                  <c:v>53Pcs/Set Yarn Knitting Crochet Hooks With Bag - Fortune Cat</c:v>
                </c:pt>
                <c:pt idx="7">
                  <c:v>Electronic Digital Display Vernier Caliper</c:v>
                </c:pt>
                <c:pt idx="8">
                  <c:v>Portable Mini Cordless Car Vacuum Cleaner - Blue</c:v>
                </c:pt>
                <c:pt idx="9">
                  <c:v>Punch-free Great Load Bearing Bathroom Storage Rack Wall Shelf-White</c:v>
                </c:pt>
              </c:strCache>
            </c:strRef>
          </c:cat>
          <c:val>
            <c:numRef>
              <c:f>Pivot_Tables!$O$32:$O$42</c:f>
              <c:numCache>
                <c:formatCode>General</c:formatCode>
                <c:ptCount val="10"/>
                <c:pt idx="0">
                  <c:v>39</c:v>
                </c:pt>
                <c:pt idx="1">
                  <c:v>69</c:v>
                </c:pt>
                <c:pt idx="2">
                  <c:v>55</c:v>
                </c:pt>
                <c:pt idx="3">
                  <c:v>44</c:v>
                </c:pt>
                <c:pt idx="4">
                  <c:v>20</c:v>
                </c:pt>
                <c:pt idx="5">
                  <c:v>32</c:v>
                </c:pt>
                <c:pt idx="6">
                  <c:v>20</c:v>
                </c:pt>
                <c:pt idx="7">
                  <c:v>49</c:v>
                </c:pt>
                <c:pt idx="8">
                  <c:v>24</c:v>
                </c:pt>
                <c:pt idx="9">
                  <c:v>36</c:v>
                </c:pt>
              </c:numCache>
            </c:numRef>
          </c:val>
          <c:extLst>
            <c:ext xmlns:c16="http://schemas.microsoft.com/office/drawing/2014/chart" uri="{C3380CC4-5D6E-409C-BE32-E72D297353CC}">
              <c16:uniqueId val="{00000000-817D-44F6-B47C-C93BDC81C8B2}"/>
            </c:ext>
          </c:extLst>
        </c:ser>
        <c:dLbls>
          <c:showLegendKey val="0"/>
          <c:showVal val="0"/>
          <c:showCatName val="0"/>
          <c:showSerName val="0"/>
          <c:showPercent val="0"/>
          <c:showBubbleSize val="0"/>
        </c:dLbls>
        <c:gapWidth val="182"/>
        <c:axId val="1132037151"/>
        <c:axId val="379414095"/>
      </c:barChart>
      <c:catAx>
        <c:axId val="11320371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14095"/>
        <c:crosses val="autoZero"/>
        <c:auto val="1"/>
        <c:lblAlgn val="ctr"/>
        <c:lblOffset val="100"/>
        <c:noMultiLvlLbl val="0"/>
      </c:catAx>
      <c:valAx>
        <c:axId val="37941409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0371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[jumia_product_dashboard.xlsx]Pivot_Tables!PivotTable10</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products by discount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Pivot_Tables!$I$39</c:f>
              <c:strCache>
                <c:ptCount val="1"/>
                <c:pt idx="0">
                  <c:v>Total</c:v>
                </c:pt>
              </c:strCache>
            </c:strRef>
          </c:tx>
          <c:spPr>
            <a:solidFill>
              <a:schemeClr val="accent1"/>
            </a:solidFill>
            <a:ln>
              <a:noFill/>
            </a:ln>
            <a:effectLst/>
          </c:spPr>
          <c:invertIfNegative val="0"/>
          <c:cat>
            <c:strRef>
              <c:f>Pivot_Tables!$H$40:$H$50</c:f>
              <c:strCache>
                <c:ptCount val="10"/>
                <c:pt idx="0">
                  <c:v>3PCS Single Head Knitting Crochet Sweater Needle Set</c:v>
                </c:pt>
                <c:pt idx="1">
                  <c:v>5-PCS Stainless Steel Cooking Pot Set With Steamed Slices</c:v>
                </c:pt>
                <c:pt idx="2">
                  <c:v>6 In 1 Bottle Can Opener Multifunctional Easy Opener</c:v>
                </c:pt>
                <c:pt idx="3">
                  <c:v>Classic Black Cat Cotton Hemp Pillow Case For Home Car</c:v>
                </c:pt>
                <c:pt idx="4">
                  <c:v>Creative Owl Shape Keychain Black</c:v>
                </c:pt>
                <c:pt idx="5">
                  <c:v>Exfoliate And Exfoliate Face Towel - Black</c:v>
                </c:pt>
                <c:pt idx="6">
                  <c:v>Intelligent LED Body Sensor Wireless Lighting Night Light USB</c:v>
                </c:pt>
                <c:pt idx="7">
                  <c:v>LASA 3 Tier Bamboo Shoe Bench Storage Shelf</c:v>
                </c:pt>
                <c:pt idx="8">
                  <c:v>LASA FOLDING TABLE SERVING STAND</c:v>
                </c:pt>
                <c:pt idx="9">
                  <c:v>Mythco 120COB Solar Wall Ligt With Motion Sensor And Remote Control 3 Modes</c:v>
                </c:pt>
              </c:strCache>
            </c:strRef>
          </c:cat>
          <c:val>
            <c:numRef>
              <c:f>Pivot_Tables!$I$40:$I$50</c:f>
              <c:numCache>
                <c:formatCode>General</c:formatCode>
                <c:ptCount val="10"/>
                <c:pt idx="0">
                  <c:v>0.53</c:v>
                </c:pt>
                <c:pt idx="1">
                  <c:v>0.55000000000000004</c:v>
                </c:pt>
                <c:pt idx="2">
                  <c:v>0.64</c:v>
                </c:pt>
                <c:pt idx="3">
                  <c:v>0.53</c:v>
                </c:pt>
                <c:pt idx="4">
                  <c:v>0.55000000000000004</c:v>
                </c:pt>
                <c:pt idx="5">
                  <c:v>0.52</c:v>
                </c:pt>
                <c:pt idx="6">
                  <c:v>0.52</c:v>
                </c:pt>
                <c:pt idx="7">
                  <c:v>0.54</c:v>
                </c:pt>
                <c:pt idx="8">
                  <c:v>0.55000000000000004</c:v>
                </c:pt>
                <c:pt idx="9">
                  <c:v>0.54</c:v>
                </c:pt>
              </c:numCache>
            </c:numRef>
          </c:val>
          <c:extLst>
            <c:ext xmlns:c16="http://schemas.microsoft.com/office/drawing/2014/chart" uri="{C3380CC4-5D6E-409C-BE32-E72D297353CC}">
              <c16:uniqueId val="{00000000-1A77-47D3-887F-6D45174C0784}"/>
            </c:ext>
          </c:extLst>
        </c:ser>
        <c:dLbls>
          <c:showLegendKey val="0"/>
          <c:showVal val="0"/>
          <c:showCatName val="0"/>
          <c:showSerName val="0"/>
          <c:showPercent val="0"/>
          <c:showBubbleSize val="0"/>
        </c:dLbls>
        <c:gapWidth val="182"/>
        <c:axId val="385127087"/>
        <c:axId val="379398735"/>
      </c:barChart>
      <c:catAx>
        <c:axId val="3851270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398735"/>
        <c:crosses val="autoZero"/>
        <c:auto val="1"/>
        <c:lblAlgn val="ctr"/>
        <c:lblOffset val="100"/>
        <c:noMultiLvlLbl val="0"/>
      </c:catAx>
      <c:valAx>
        <c:axId val="3793987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1270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75000"/>
                  </a:schemeClr>
                </a:solidFill>
              </a:rPr>
              <a:t>Discount (X) vs. Reviews (Y)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923542437707244"/>
                  <c:y val="-0.346417687372411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Analysis!$J$7:$J$63</c:f>
              <c:numCache>
                <c:formatCode>General</c:formatCode>
                <c:ptCount val="57"/>
                <c:pt idx="0">
                  <c:v>0.38</c:v>
                </c:pt>
                <c:pt idx="1">
                  <c:v>0.47</c:v>
                </c:pt>
                <c:pt idx="2">
                  <c:v>0.25</c:v>
                </c:pt>
                <c:pt idx="3">
                  <c:v>0.37</c:v>
                </c:pt>
                <c:pt idx="4">
                  <c:v>0.26</c:v>
                </c:pt>
                <c:pt idx="5">
                  <c:v>0.09</c:v>
                </c:pt>
                <c:pt idx="6">
                  <c:v>0.24</c:v>
                </c:pt>
                <c:pt idx="7">
                  <c:v>0.37</c:v>
                </c:pt>
                <c:pt idx="8">
                  <c:v>0.55000000000000004</c:v>
                </c:pt>
                <c:pt idx="9">
                  <c:v>0.45</c:v>
                </c:pt>
                <c:pt idx="10">
                  <c:v>0.2</c:v>
                </c:pt>
                <c:pt idx="11">
                  <c:v>0.34</c:v>
                </c:pt>
                <c:pt idx="12">
                  <c:v>0.47</c:v>
                </c:pt>
                <c:pt idx="13">
                  <c:v>0.42</c:v>
                </c:pt>
                <c:pt idx="14">
                  <c:v>0.33</c:v>
                </c:pt>
                <c:pt idx="15">
                  <c:v>0.51</c:v>
                </c:pt>
                <c:pt idx="16">
                  <c:v>0.46</c:v>
                </c:pt>
                <c:pt idx="17">
                  <c:v>0.49</c:v>
                </c:pt>
                <c:pt idx="18">
                  <c:v>0.19</c:v>
                </c:pt>
                <c:pt idx="19">
                  <c:v>0.49</c:v>
                </c:pt>
                <c:pt idx="20">
                  <c:v>0.53</c:v>
                </c:pt>
                <c:pt idx="21">
                  <c:v>0.35</c:v>
                </c:pt>
                <c:pt idx="22">
                  <c:v>0.23</c:v>
                </c:pt>
                <c:pt idx="23">
                  <c:v>0.54</c:v>
                </c:pt>
                <c:pt idx="24">
                  <c:v>0.35</c:v>
                </c:pt>
                <c:pt idx="25">
                  <c:v>0.18</c:v>
                </c:pt>
                <c:pt idx="26">
                  <c:v>0.32</c:v>
                </c:pt>
                <c:pt idx="27">
                  <c:v>0.3</c:v>
                </c:pt>
                <c:pt idx="28">
                  <c:v>0.52</c:v>
                </c:pt>
                <c:pt idx="29">
                  <c:v>0.34</c:v>
                </c:pt>
                <c:pt idx="30">
                  <c:v>0.48</c:v>
                </c:pt>
                <c:pt idx="31">
                  <c:v>0.27</c:v>
                </c:pt>
                <c:pt idx="32">
                  <c:v>0.27</c:v>
                </c:pt>
                <c:pt idx="33">
                  <c:v>0.4</c:v>
                </c:pt>
                <c:pt idx="34">
                  <c:v>0.53</c:v>
                </c:pt>
                <c:pt idx="35">
                  <c:v>0.41</c:v>
                </c:pt>
                <c:pt idx="36">
                  <c:v>0.38</c:v>
                </c:pt>
                <c:pt idx="37">
                  <c:v>0.13</c:v>
                </c:pt>
                <c:pt idx="38">
                  <c:v>0.54</c:v>
                </c:pt>
                <c:pt idx="39">
                  <c:v>0.55000000000000004</c:v>
                </c:pt>
                <c:pt idx="40">
                  <c:v>0.49</c:v>
                </c:pt>
                <c:pt idx="41">
                  <c:v>0.52</c:v>
                </c:pt>
                <c:pt idx="42">
                  <c:v>0.22</c:v>
                </c:pt>
                <c:pt idx="43">
                  <c:v>0.45</c:v>
                </c:pt>
                <c:pt idx="44">
                  <c:v>0.5</c:v>
                </c:pt>
                <c:pt idx="45">
                  <c:v>0.39</c:v>
                </c:pt>
                <c:pt idx="46">
                  <c:v>0.45</c:v>
                </c:pt>
                <c:pt idx="47">
                  <c:v>0.28999999999999998</c:v>
                </c:pt>
                <c:pt idx="48">
                  <c:v>0.43</c:v>
                </c:pt>
                <c:pt idx="49">
                  <c:v>0.43</c:v>
                </c:pt>
                <c:pt idx="50">
                  <c:v>0.47</c:v>
                </c:pt>
                <c:pt idx="51">
                  <c:v>0.47</c:v>
                </c:pt>
                <c:pt idx="52">
                  <c:v>0.46</c:v>
                </c:pt>
                <c:pt idx="53">
                  <c:v>0.49</c:v>
                </c:pt>
                <c:pt idx="54">
                  <c:v>0.49</c:v>
                </c:pt>
                <c:pt idx="55">
                  <c:v>0.21</c:v>
                </c:pt>
                <c:pt idx="56">
                  <c:v>0.5</c:v>
                </c:pt>
              </c:numCache>
            </c:numRef>
          </c:xVal>
          <c:yVal>
            <c:numRef>
              <c:f>Analysis!$K$7:$K$63</c:f>
              <c:numCache>
                <c:formatCode>General</c:formatCode>
                <c:ptCount val="57"/>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6</c:v>
                </c:pt>
                <c:pt idx="22">
                  <c:v>14</c:v>
                </c:pt>
                <c:pt idx="23">
                  <c:v>7</c:v>
                </c:pt>
                <c:pt idx="24">
                  <c:v>49</c:v>
                </c:pt>
                <c:pt idx="25">
                  <c:v>12</c:v>
                </c:pt>
                <c:pt idx="26">
                  <c:v>13</c:v>
                </c:pt>
                <c:pt idx="27">
                  <c:v>20</c:v>
                </c:pt>
                <c:pt idx="28">
                  <c:v>9</c:v>
                </c:pt>
                <c:pt idx="29">
                  <c:v>12</c:v>
                </c:pt>
                <c:pt idx="30">
                  <c:v>9</c:v>
                </c:pt>
                <c:pt idx="31">
                  <c:v>20</c:v>
                </c:pt>
                <c:pt idx="32">
                  <c:v>32</c:v>
                </c:pt>
                <c:pt idx="33">
                  <c:v>1</c:v>
                </c:pt>
                <c:pt idx="34">
                  <c:v>2</c:v>
                </c:pt>
                <c:pt idx="35">
                  <c:v>36</c:v>
                </c:pt>
                <c:pt idx="36">
                  <c:v>2</c:v>
                </c:pt>
                <c:pt idx="37">
                  <c:v>6</c:v>
                </c:pt>
                <c:pt idx="38">
                  <c:v>10</c:v>
                </c:pt>
                <c:pt idx="39">
                  <c:v>13</c:v>
                </c:pt>
                <c:pt idx="40">
                  <c:v>69</c:v>
                </c:pt>
                <c:pt idx="41">
                  <c:v>15</c:v>
                </c:pt>
                <c:pt idx="42">
                  <c:v>16</c:v>
                </c:pt>
                <c:pt idx="43">
                  <c:v>6</c:v>
                </c:pt>
                <c:pt idx="44">
                  <c:v>7</c:v>
                </c:pt>
                <c:pt idx="45">
                  <c:v>5</c:v>
                </c:pt>
                <c:pt idx="46">
                  <c:v>17</c:v>
                </c:pt>
                <c:pt idx="47">
                  <c:v>5</c:v>
                </c:pt>
                <c:pt idx="48">
                  <c:v>6</c:v>
                </c:pt>
                <c:pt idx="49">
                  <c:v>5</c:v>
                </c:pt>
                <c:pt idx="50">
                  <c:v>6</c:v>
                </c:pt>
                <c:pt idx="51">
                  <c:v>7</c:v>
                </c:pt>
                <c:pt idx="52">
                  <c:v>1</c:v>
                </c:pt>
                <c:pt idx="53">
                  <c:v>1</c:v>
                </c:pt>
                <c:pt idx="54">
                  <c:v>1</c:v>
                </c:pt>
                <c:pt idx="55">
                  <c:v>1</c:v>
                </c:pt>
                <c:pt idx="56">
                  <c:v>1</c:v>
                </c:pt>
              </c:numCache>
            </c:numRef>
          </c:yVal>
          <c:smooth val="0"/>
          <c:extLst>
            <c:ext xmlns:c16="http://schemas.microsoft.com/office/drawing/2014/chart" uri="{C3380CC4-5D6E-409C-BE32-E72D297353CC}">
              <c16:uniqueId val="{00000000-C260-4698-ABAF-F6C73AF20AFD}"/>
            </c:ext>
          </c:extLst>
        </c:ser>
        <c:dLbls>
          <c:showLegendKey val="0"/>
          <c:showVal val="0"/>
          <c:showCatName val="0"/>
          <c:showSerName val="0"/>
          <c:showPercent val="0"/>
          <c:showBubbleSize val="0"/>
        </c:dLbls>
        <c:axId val="2139542559"/>
        <c:axId val="611205071"/>
      </c:scatterChart>
      <c:valAx>
        <c:axId val="21395425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205071"/>
        <c:crosses val="autoZero"/>
        <c:crossBetween val="midCat"/>
      </c:valAx>
      <c:valAx>
        <c:axId val="611205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954255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75000"/>
                  </a:schemeClr>
                </a:solidFill>
              </a:rPr>
              <a:t>Rating (X) vs. Reviews (Y)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689027841338263"/>
                  <c:y val="-0.2677449693788276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Analysis!$M$7:$M$63</c:f>
              <c:numCache>
                <c:formatCode>General</c:formatCode>
                <c:ptCount val="57"/>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4</c:v>
                </c:pt>
                <c:pt idx="22">
                  <c:v>4.4000000000000004</c:v>
                </c:pt>
                <c:pt idx="23">
                  <c:v>4.3</c:v>
                </c:pt>
                <c:pt idx="24">
                  <c:v>4.5999999999999996</c:v>
                </c:pt>
                <c:pt idx="25">
                  <c:v>3.8</c:v>
                </c:pt>
                <c:pt idx="26">
                  <c:v>3.8</c:v>
                </c:pt>
                <c:pt idx="27">
                  <c:v>4.0999999999999996</c:v>
                </c:pt>
                <c:pt idx="28">
                  <c:v>4.3</c:v>
                </c:pt>
                <c:pt idx="29">
                  <c:v>4.7</c:v>
                </c:pt>
                <c:pt idx="30">
                  <c:v>4.3</c:v>
                </c:pt>
                <c:pt idx="31">
                  <c:v>4.7</c:v>
                </c:pt>
                <c:pt idx="32">
                  <c:v>4.5</c:v>
                </c:pt>
                <c:pt idx="33">
                  <c:v>5</c:v>
                </c:pt>
                <c:pt idx="34">
                  <c:v>5</c:v>
                </c:pt>
                <c:pt idx="35">
                  <c:v>4.3</c:v>
                </c:pt>
                <c:pt idx="36">
                  <c:v>4.5</c:v>
                </c:pt>
                <c:pt idx="37">
                  <c:v>2.5</c:v>
                </c:pt>
                <c:pt idx="38">
                  <c:v>3</c:v>
                </c:pt>
                <c:pt idx="39">
                  <c:v>2.1</c:v>
                </c:pt>
                <c:pt idx="40">
                  <c:v>2.8</c:v>
                </c:pt>
                <c:pt idx="41">
                  <c:v>2.7</c:v>
                </c:pt>
                <c:pt idx="42">
                  <c:v>2.9</c:v>
                </c:pt>
                <c:pt idx="43">
                  <c:v>2.2000000000000002</c:v>
                </c:pt>
                <c:pt idx="44">
                  <c:v>2.2999999999999998</c:v>
                </c:pt>
                <c:pt idx="45">
                  <c:v>3</c:v>
                </c:pt>
                <c:pt idx="46">
                  <c:v>2.6</c:v>
                </c:pt>
                <c:pt idx="47">
                  <c:v>3</c:v>
                </c:pt>
                <c:pt idx="48">
                  <c:v>2.2999999999999998</c:v>
                </c:pt>
                <c:pt idx="49">
                  <c:v>3</c:v>
                </c:pt>
                <c:pt idx="50">
                  <c:v>2.2000000000000002</c:v>
                </c:pt>
                <c:pt idx="51">
                  <c:v>2.1</c:v>
                </c:pt>
                <c:pt idx="52">
                  <c:v>3</c:v>
                </c:pt>
                <c:pt idx="53">
                  <c:v>5</c:v>
                </c:pt>
                <c:pt idx="54">
                  <c:v>4</c:v>
                </c:pt>
                <c:pt idx="55">
                  <c:v>5</c:v>
                </c:pt>
                <c:pt idx="56">
                  <c:v>2</c:v>
                </c:pt>
              </c:numCache>
            </c:numRef>
          </c:xVal>
          <c:yVal>
            <c:numRef>
              <c:f>Analysis!$N$7:$N$63</c:f>
              <c:numCache>
                <c:formatCode>General</c:formatCode>
                <c:ptCount val="57"/>
                <c:pt idx="0">
                  <c:v>2</c:v>
                </c:pt>
                <c:pt idx="1">
                  <c:v>14</c:v>
                </c:pt>
                <c:pt idx="2">
                  <c:v>24</c:v>
                </c:pt>
                <c:pt idx="3">
                  <c:v>7</c:v>
                </c:pt>
                <c:pt idx="4">
                  <c:v>5</c:v>
                </c:pt>
                <c:pt idx="5">
                  <c:v>15</c:v>
                </c:pt>
                <c:pt idx="6">
                  <c:v>55</c:v>
                </c:pt>
                <c:pt idx="7">
                  <c:v>2</c:v>
                </c:pt>
                <c:pt idx="8">
                  <c:v>5</c:v>
                </c:pt>
                <c:pt idx="9">
                  <c:v>5</c:v>
                </c:pt>
                <c:pt idx="10">
                  <c:v>12</c:v>
                </c:pt>
                <c:pt idx="11">
                  <c:v>39</c:v>
                </c:pt>
                <c:pt idx="12">
                  <c:v>12</c:v>
                </c:pt>
                <c:pt idx="13">
                  <c:v>6</c:v>
                </c:pt>
                <c:pt idx="14">
                  <c:v>9</c:v>
                </c:pt>
                <c:pt idx="15">
                  <c:v>2</c:v>
                </c:pt>
                <c:pt idx="16">
                  <c:v>2</c:v>
                </c:pt>
                <c:pt idx="17">
                  <c:v>3</c:v>
                </c:pt>
                <c:pt idx="18">
                  <c:v>5</c:v>
                </c:pt>
                <c:pt idx="19">
                  <c:v>44</c:v>
                </c:pt>
                <c:pt idx="20">
                  <c:v>13</c:v>
                </c:pt>
                <c:pt idx="21">
                  <c:v>6</c:v>
                </c:pt>
                <c:pt idx="22">
                  <c:v>14</c:v>
                </c:pt>
                <c:pt idx="23">
                  <c:v>7</c:v>
                </c:pt>
                <c:pt idx="24">
                  <c:v>49</c:v>
                </c:pt>
                <c:pt idx="25">
                  <c:v>12</c:v>
                </c:pt>
                <c:pt idx="26">
                  <c:v>13</c:v>
                </c:pt>
                <c:pt idx="27">
                  <c:v>20</c:v>
                </c:pt>
                <c:pt idx="28">
                  <c:v>9</c:v>
                </c:pt>
                <c:pt idx="29">
                  <c:v>12</c:v>
                </c:pt>
                <c:pt idx="30">
                  <c:v>9</c:v>
                </c:pt>
                <c:pt idx="31">
                  <c:v>20</c:v>
                </c:pt>
                <c:pt idx="32">
                  <c:v>32</c:v>
                </c:pt>
                <c:pt idx="33">
                  <c:v>1</c:v>
                </c:pt>
                <c:pt idx="34">
                  <c:v>2</c:v>
                </c:pt>
                <c:pt idx="35">
                  <c:v>36</c:v>
                </c:pt>
                <c:pt idx="36">
                  <c:v>2</c:v>
                </c:pt>
                <c:pt idx="37">
                  <c:v>6</c:v>
                </c:pt>
                <c:pt idx="38">
                  <c:v>10</c:v>
                </c:pt>
                <c:pt idx="39">
                  <c:v>13</c:v>
                </c:pt>
                <c:pt idx="40">
                  <c:v>69</c:v>
                </c:pt>
                <c:pt idx="41">
                  <c:v>15</c:v>
                </c:pt>
                <c:pt idx="42">
                  <c:v>16</c:v>
                </c:pt>
                <c:pt idx="43">
                  <c:v>6</c:v>
                </c:pt>
                <c:pt idx="44">
                  <c:v>7</c:v>
                </c:pt>
                <c:pt idx="45">
                  <c:v>5</c:v>
                </c:pt>
                <c:pt idx="46">
                  <c:v>17</c:v>
                </c:pt>
                <c:pt idx="47">
                  <c:v>5</c:v>
                </c:pt>
                <c:pt idx="48">
                  <c:v>6</c:v>
                </c:pt>
                <c:pt idx="49">
                  <c:v>5</c:v>
                </c:pt>
                <c:pt idx="50">
                  <c:v>6</c:v>
                </c:pt>
                <c:pt idx="51">
                  <c:v>7</c:v>
                </c:pt>
                <c:pt idx="52">
                  <c:v>1</c:v>
                </c:pt>
                <c:pt idx="53">
                  <c:v>1</c:v>
                </c:pt>
                <c:pt idx="54">
                  <c:v>1</c:v>
                </c:pt>
                <c:pt idx="55">
                  <c:v>1</c:v>
                </c:pt>
                <c:pt idx="56">
                  <c:v>1</c:v>
                </c:pt>
              </c:numCache>
            </c:numRef>
          </c:yVal>
          <c:smooth val="0"/>
          <c:extLst>
            <c:ext xmlns:c16="http://schemas.microsoft.com/office/drawing/2014/chart" uri="{C3380CC4-5D6E-409C-BE32-E72D297353CC}">
              <c16:uniqueId val="{00000000-D57C-44B0-A6ED-893758B7770F}"/>
            </c:ext>
          </c:extLst>
        </c:ser>
        <c:dLbls>
          <c:showLegendKey val="0"/>
          <c:showVal val="0"/>
          <c:showCatName val="0"/>
          <c:showSerName val="0"/>
          <c:showPercent val="0"/>
          <c:showBubbleSize val="0"/>
        </c:dLbls>
        <c:axId val="498625743"/>
        <c:axId val="633946671"/>
      </c:scatterChart>
      <c:valAx>
        <c:axId val="498625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946671"/>
        <c:crosses val="autoZero"/>
        <c:crossBetween val="midCat"/>
      </c:valAx>
      <c:valAx>
        <c:axId val="6339466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86257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lumMod val="75000"/>
                  </a:schemeClr>
                </a:solidFill>
              </a:rPr>
              <a:t>Current Price (X) vs. Rating (Y)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2.0444116777801467E-2"/>
                  <c:y val="0.2363812335958005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Analysis!$Q$7:$Q$63</c:f>
              <c:numCache>
                <c:formatCode>General</c:formatCode>
                <c:ptCount val="57"/>
                <c:pt idx="0">
                  <c:v>950</c:v>
                </c:pt>
                <c:pt idx="1">
                  <c:v>527</c:v>
                </c:pt>
                <c:pt idx="2">
                  <c:v>2199</c:v>
                </c:pt>
                <c:pt idx="3">
                  <c:v>1580</c:v>
                </c:pt>
                <c:pt idx="4">
                  <c:v>1740</c:v>
                </c:pt>
                <c:pt idx="5">
                  <c:v>2999</c:v>
                </c:pt>
                <c:pt idx="6">
                  <c:v>2319</c:v>
                </c:pt>
                <c:pt idx="7">
                  <c:v>988</c:v>
                </c:pt>
                <c:pt idx="8">
                  <c:v>1274</c:v>
                </c:pt>
                <c:pt idx="9">
                  <c:v>1600</c:v>
                </c:pt>
                <c:pt idx="10">
                  <c:v>799</c:v>
                </c:pt>
                <c:pt idx="11">
                  <c:v>990</c:v>
                </c:pt>
                <c:pt idx="12">
                  <c:v>552</c:v>
                </c:pt>
                <c:pt idx="13">
                  <c:v>501</c:v>
                </c:pt>
                <c:pt idx="14">
                  <c:v>1680</c:v>
                </c:pt>
                <c:pt idx="15">
                  <c:v>332</c:v>
                </c:pt>
                <c:pt idx="16">
                  <c:v>195</c:v>
                </c:pt>
                <c:pt idx="17">
                  <c:v>2025</c:v>
                </c:pt>
                <c:pt idx="18">
                  <c:v>2999</c:v>
                </c:pt>
                <c:pt idx="19">
                  <c:v>998</c:v>
                </c:pt>
                <c:pt idx="20">
                  <c:v>38</c:v>
                </c:pt>
                <c:pt idx="21">
                  <c:v>880</c:v>
                </c:pt>
                <c:pt idx="22">
                  <c:v>1650</c:v>
                </c:pt>
                <c:pt idx="23">
                  <c:v>2048</c:v>
                </c:pt>
                <c:pt idx="24">
                  <c:v>420</c:v>
                </c:pt>
                <c:pt idx="25">
                  <c:v>2880</c:v>
                </c:pt>
                <c:pt idx="26">
                  <c:v>1350</c:v>
                </c:pt>
                <c:pt idx="27">
                  <c:v>1758</c:v>
                </c:pt>
                <c:pt idx="28">
                  <c:v>185</c:v>
                </c:pt>
                <c:pt idx="29">
                  <c:v>980</c:v>
                </c:pt>
                <c:pt idx="30">
                  <c:v>1820</c:v>
                </c:pt>
                <c:pt idx="31">
                  <c:v>1940</c:v>
                </c:pt>
                <c:pt idx="32">
                  <c:v>1980</c:v>
                </c:pt>
                <c:pt idx="33">
                  <c:v>1620</c:v>
                </c:pt>
                <c:pt idx="34">
                  <c:v>171</c:v>
                </c:pt>
                <c:pt idx="35">
                  <c:v>389</c:v>
                </c:pt>
                <c:pt idx="36">
                  <c:v>1800</c:v>
                </c:pt>
                <c:pt idx="37">
                  <c:v>2170</c:v>
                </c:pt>
                <c:pt idx="38">
                  <c:v>458</c:v>
                </c:pt>
                <c:pt idx="39">
                  <c:v>2115</c:v>
                </c:pt>
                <c:pt idx="40">
                  <c:v>445</c:v>
                </c:pt>
                <c:pt idx="41">
                  <c:v>325</c:v>
                </c:pt>
                <c:pt idx="42">
                  <c:v>1220</c:v>
                </c:pt>
                <c:pt idx="43">
                  <c:v>990</c:v>
                </c:pt>
                <c:pt idx="44">
                  <c:v>1000</c:v>
                </c:pt>
                <c:pt idx="45">
                  <c:v>3750</c:v>
                </c:pt>
                <c:pt idx="46">
                  <c:v>382</c:v>
                </c:pt>
                <c:pt idx="47">
                  <c:v>2300</c:v>
                </c:pt>
                <c:pt idx="48">
                  <c:v>345</c:v>
                </c:pt>
                <c:pt idx="49">
                  <c:v>509</c:v>
                </c:pt>
                <c:pt idx="50">
                  <c:v>968</c:v>
                </c:pt>
                <c:pt idx="51">
                  <c:v>1570</c:v>
                </c:pt>
                <c:pt idx="52">
                  <c:v>1189</c:v>
                </c:pt>
                <c:pt idx="53">
                  <c:v>979</c:v>
                </c:pt>
                <c:pt idx="54">
                  <c:v>330</c:v>
                </c:pt>
                <c:pt idx="55">
                  <c:v>3640</c:v>
                </c:pt>
                <c:pt idx="56">
                  <c:v>450</c:v>
                </c:pt>
              </c:numCache>
            </c:numRef>
          </c:xVal>
          <c:yVal>
            <c:numRef>
              <c:f>Analysis!$R$7:$R$63</c:f>
              <c:numCache>
                <c:formatCode>General</c:formatCode>
                <c:ptCount val="57"/>
                <c:pt idx="0">
                  <c:v>4.5</c:v>
                </c:pt>
                <c:pt idx="1">
                  <c:v>4.0999999999999996</c:v>
                </c:pt>
                <c:pt idx="2">
                  <c:v>4.5999999999999996</c:v>
                </c:pt>
                <c:pt idx="3">
                  <c:v>4.7</c:v>
                </c:pt>
                <c:pt idx="4">
                  <c:v>4.8</c:v>
                </c:pt>
                <c:pt idx="5">
                  <c:v>4</c:v>
                </c:pt>
                <c:pt idx="6">
                  <c:v>4.5999999999999996</c:v>
                </c:pt>
                <c:pt idx="7">
                  <c:v>4</c:v>
                </c:pt>
                <c:pt idx="8">
                  <c:v>4.8</c:v>
                </c:pt>
                <c:pt idx="9">
                  <c:v>3.8</c:v>
                </c:pt>
                <c:pt idx="10">
                  <c:v>4.0999999999999996</c:v>
                </c:pt>
                <c:pt idx="11">
                  <c:v>4.7</c:v>
                </c:pt>
                <c:pt idx="12">
                  <c:v>4.8</c:v>
                </c:pt>
                <c:pt idx="13">
                  <c:v>4.5</c:v>
                </c:pt>
                <c:pt idx="14">
                  <c:v>4.2</c:v>
                </c:pt>
                <c:pt idx="15">
                  <c:v>5</c:v>
                </c:pt>
                <c:pt idx="16">
                  <c:v>5</c:v>
                </c:pt>
                <c:pt idx="17">
                  <c:v>5</c:v>
                </c:pt>
                <c:pt idx="18">
                  <c:v>4.5999999999999996</c:v>
                </c:pt>
                <c:pt idx="19">
                  <c:v>4.5999999999999996</c:v>
                </c:pt>
                <c:pt idx="20">
                  <c:v>3.3</c:v>
                </c:pt>
                <c:pt idx="21">
                  <c:v>4</c:v>
                </c:pt>
                <c:pt idx="22">
                  <c:v>4.4000000000000004</c:v>
                </c:pt>
                <c:pt idx="23">
                  <c:v>4.3</c:v>
                </c:pt>
                <c:pt idx="24">
                  <c:v>4.5999999999999996</c:v>
                </c:pt>
                <c:pt idx="25">
                  <c:v>3.8</c:v>
                </c:pt>
                <c:pt idx="26">
                  <c:v>3.8</c:v>
                </c:pt>
                <c:pt idx="27">
                  <c:v>4.0999999999999996</c:v>
                </c:pt>
                <c:pt idx="28">
                  <c:v>4.3</c:v>
                </c:pt>
                <c:pt idx="29">
                  <c:v>4.7</c:v>
                </c:pt>
                <c:pt idx="30">
                  <c:v>4.3</c:v>
                </c:pt>
                <c:pt idx="31">
                  <c:v>4.7</c:v>
                </c:pt>
                <c:pt idx="32">
                  <c:v>4.5</c:v>
                </c:pt>
                <c:pt idx="33">
                  <c:v>5</c:v>
                </c:pt>
                <c:pt idx="34">
                  <c:v>5</c:v>
                </c:pt>
                <c:pt idx="35">
                  <c:v>4.3</c:v>
                </c:pt>
                <c:pt idx="36">
                  <c:v>4.5</c:v>
                </c:pt>
                <c:pt idx="37">
                  <c:v>2.5</c:v>
                </c:pt>
                <c:pt idx="38">
                  <c:v>3</c:v>
                </c:pt>
                <c:pt idx="39">
                  <c:v>2.1</c:v>
                </c:pt>
                <c:pt idx="40">
                  <c:v>2.8</c:v>
                </c:pt>
                <c:pt idx="41">
                  <c:v>2.7</c:v>
                </c:pt>
                <c:pt idx="42">
                  <c:v>2.9</c:v>
                </c:pt>
                <c:pt idx="43">
                  <c:v>2.2000000000000002</c:v>
                </c:pt>
                <c:pt idx="44">
                  <c:v>2.2999999999999998</c:v>
                </c:pt>
                <c:pt idx="45">
                  <c:v>3</c:v>
                </c:pt>
                <c:pt idx="46">
                  <c:v>2.6</c:v>
                </c:pt>
                <c:pt idx="47">
                  <c:v>3</c:v>
                </c:pt>
                <c:pt idx="48">
                  <c:v>2.2999999999999998</c:v>
                </c:pt>
                <c:pt idx="49">
                  <c:v>3</c:v>
                </c:pt>
                <c:pt idx="50">
                  <c:v>2.2000000000000002</c:v>
                </c:pt>
                <c:pt idx="51">
                  <c:v>2.1</c:v>
                </c:pt>
                <c:pt idx="52">
                  <c:v>3</c:v>
                </c:pt>
                <c:pt idx="53">
                  <c:v>5</c:v>
                </c:pt>
                <c:pt idx="54">
                  <c:v>4</c:v>
                </c:pt>
                <c:pt idx="55">
                  <c:v>5</c:v>
                </c:pt>
                <c:pt idx="56">
                  <c:v>2</c:v>
                </c:pt>
              </c:numCache>
            </c:numRef>
          </c:yVal>
          <c:smooth val="0"/>
          <c:extLst>
            <c:ext xmlns:c16="http://schemas.microsoft.com/office/drawing/2014/chart" uri="{C3380CC4-5D6E-409C-BE32-E72D297353CC}">
              <c16:uniqueId val="{00000000-5440-4834-8F63-7EB10E97C276}"/>
            </c:ext>
          </c:extLst>
        </c:ser>
        <c:dLbls>
          <c:showLegendKey val="0"/>
          <c:showVal val="0"/>
          <c:showCatName val="0"/>
          <c:showSerName val="0"/>
          <c:showPercent val="0"/>
          <c:showBubbleSize val="0"/>
        </c:dLbls>
        <c:axId val="578882799"/>
        <c:axId val="611133071"/>
      </c:scatterChart>
      <c:valAx>
        <c:axId val="578882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1133071"/>
        <c:crosses val="autoZero"/>
        <c:crossBetween val="midCat"/>
      </c:valAx>
      <c:valAx>
        <c:axId val="611133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88279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[jumia_product_dashboard.xlsx]Pivot_Tables!PivotTable3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Pivot_Tables!$C$17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3A9-43E3-A391-9C162EF8178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3A9-43E3-A391-9C162EF8178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3A9-43E3-A391-9C162EF8178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3A9-43E3-A391-9C162EF8178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3A9-43E3-A391-9C162EF81781}"/>
              </c:ext>
            </c:extLst>
          </c:dPt>
          <c:cat>
            <c:strRef>
              <c:f>Pivot_Tables!$B$18:$B$23</c:f>
              <c:strCache>
                <c:ptCount val="5"/>
                <c:pt idx="0">
                  <c:v>Average</c:v>
                </c:pt>
                <c:pt idx="1">
                  <c:v>Excellent</c:v>
                </c:pt>
                <c:pt idx="2">
                  <c:v>Missing</c:v>
                </c:pt>
                <c:pt idx="3">
                  <c:v>Poor</c:v>
                </c:pt>
                <c:pt idx="4">
                  <c:v>(blank)</c:v>
                </c:pt>
              </c:strCache>
            </c:strRef>
          </c:cat>
          <c:val>
            <c:numRef>
              <c:f>Pivot_Tables!$C$18:$C$23</c:f>
              <c:numCache>
                <c:formatCode>General</c:formatCode>
                <c:ptCount val="5"/>
                <c:pt idx="0">
                  <c:v>26</c:v>
                </c:pt>
                <c:pt idx="1">
                  <c:v>19</c:v>
                </c:pt>
                <c:pt idx="2">
                  <c:v>55</c:v>
                </c:pt>
                <c:pt idx="3">
                  <c:v>12</c:v>
                </c:pt>
              </c:numCache>
            </c:numRef>
          </c:val>
          <c:extLst>
            <c:ext xmlns:c16="http://schemas.microsoft.com/office/drawing/2014/chart" uri="{C3380CC4-5D6E-409C-BE32-E72D297353CC}">
              <c16:uniqueId val="{0000000A-D3A9-43E3-A391-9C162EF8178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[jumia_product_dashboard.xlsx]Pivot_Tables!PivotTable4</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Pivot_Tables!$I$9</c:f>
              <c:strCache>
                <c:ptCount val="1"/>
                <c:pt idx="0">
                  <c:v>Total</c:v>
                </c:pt>
              </c:strCache>
            </c:strRef>
          </c:tx>
          <c:spPr>
            <a:solidFill>
              <a:schemeClr val="accent1"/>
            </a:solidFill>
            <a:ln>
              <a:noFill/>
            </a:ln>
            <a:effectLst/>
          </c:spPr>
          <c:invertIfNegative val="0"/>
          <c:cat>
            <c:strRef>
              <c:f>Pivot_Tables!$H$10:$H$14</c:f>
              <c:strCache>
                <c:ptCount val="4"/>
                <c:pt idx="0">
                  <c:v>High Discount</c:v>
                </c:pt>
                <c:pt idx="1">
                  <c:v>Low Discount</c:v>
                </c:pt>
                <c:pt idx="2">
                  <c:v>Medium Discount</c:v>
                </c:pt>
                <c:pt idx="3">
                  <c:v>(blank)</c:v>
                </c:pt>
              </c:strCache>
            </c:strRef>
          </c:cat>
          <c:val>
            <c:numRef>
              <c:f>Pivot_Tables!$I$10:$I$14</c:f>
              <c:numCache>
                <c:formatCode>General</c:formatCode>
                <c:ptCount val="4"/>
                <c:pt idx="0">
                  <c:v>62</c:v>
                </c:pt>
                <c:pt idx="1">
                  <c:v>18</c:v>
                </c:pt>
                <c:pt idx="2">
                  <c:v>32</c:v>
                </c:pt>
              </c:numCache>
            </c:numRef>
          </c:val>
          <c:extLst>
            <c:ext xmlns:c16="http://schemas.microsoft.com/office/drawing/2014/chart" uri="{C3380CC4-5D6E-409C-BE32-E72D297353CC}">
              <c16:uniqueId val="{00000000-01E3-414A-9799-088A47E858FB}"/>
            </c:ext>
          </c:extLst>
        </c:ser>
        <c:dLbls>
          <c:showLegendKey val="0"/>
          <c:showVal val="0"/>
          <c:showCatName val="0"/>
          <c:showSerName val="0"/>
          <c:showPercent val="0"/>
          <c:showBubbleSize val="0"/>
        </c:dLbls>
        <c:gapWidth val="219"/>
        <c:overlap val="-27"/>
        <c:axId val="1132026479"/>
        <c:axId val="379428015"/>
      </c:barChart>
      <c:catAx>
        <c:axId val="1132026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9428015"/>
        <c:crosses val="autoZero"/>
        <c:auto val="1"/>
        <c:lblAlgn val="ctr"/>
        <c:lblOffset val="100"/>
        <c:noMultiLvlLbl val="0"/>
      </c:catAx>
      <c:valAx>
        <c:axId val="379428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026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8</xdr:col>
      <xdr:colOff>557212</xdr:colOff>
      <xdr:row>48</xdr:row>
      <xdr:rowOff>80962</xdr:rowOff>
    </xdr:from>
    <xdr:to>
      <xdr:col>15</xdr:col>
      <xdr:colOff>414337</xdr:colOff>
      <xdr:row>62</xdr:row>
      <xdr:rowOff>157162</xdr:rowOff>
    </xdr:to>
    <xdr:graphicFrame macro="">
      <xdr:nvGraphicFramePr>
        <xdr:cNvPr id="5" name="Chart 4">
          <a:extLst>
            <a:ext uri="{FF2B5EF4-FFF2-40B4-BE49-F238E27FC236}">
              <a16:creationId xmlns:a16="http://schemas.microsoft.com/office/drawing/2014/main" id="{CE9671C5-931B-6C77-3BCE-4AA55E68F0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557212</xdr:colOff>
      <xdr:row>6</xdr:row>
      <xdr:rowOff>90487</xdr:rowOff>
    </xdr:from>
    <xdr:to>
      <xdr:col>15</xdr:col>
      <xdr:colOff>414337</xdr:colOff>
      <xdr:row>20</xdr:row>
      <xdr:rowOff>166687</xdr:rowOff>
    </xdr:to>
    <xdr:graphicFrame macro="">
      <xdr:nvGraphicFramePr>
        <xdr:cNvPr id="6" name="Chart 5">
          <a:extLst>
            <a:ext uri="{FF2B5EF4-FFF2-40B4-BE49-F238E27FC236}">
              <a16:creationId xmlns:a16="http://schemas.microsoft.com/office/drawing/2014/main" id="{88B6356B-F296-F363-0020-504E6843B8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547687</xdr:colOff>
      <xdr:row>19</xdr:row>
      <xdr:rowOff>138112</xdr:rowOff>
    </xdr:from>
    <xdr:to>
      <xdr:col>20</xdr:col>
      <xdr:colOff>242887</xdr:colOff>
      <xdr:row>34</xdr:row>
      <xdr:rowOff>23812</xdr:rowOff>
    </xdr:to>
    <xdr:graphicFrame macro="">
      <xdr:nvGraphicFramePr>
        <xdr:cNvPr id="8" name="Chart 7">
          <a:extLst>
            <a:ext uri="{FF2B5EF4-FFF2-40B4-BE49-F238E27FC236}">
              <a16:creationId xmlns:a16="http://schemas.microsoft.com/office/drawing/2014/main" id="{D93A780E-3F1E-2C40-4C20-1F120A9CF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196103</xdr:colOff>
      <xdr:row>3</xdr:row>
      <xdr:rowOff>34738</xdr:rowOff>
    </xdr:from>
    <xdr:to>
      <xdr:col>12</xdr:col>
      <xdr:colOff>291353</xdr:colOff>
      <xdr:row>17</xdr:row>
      <xdr:rowOff>22412</xdr:rowOff>
    </xdr:to>
    <xdr:graphicFrame macro="">
      <xdr:nvGraphicFramePr>
        <xdr:cNvPr id="3" name="Chart 2">
          <a:extLst>
            <a:ext uri="{FF2B5EF4-FFF2-40B4-BE49-F238E27FC236}">
              <a16:creationId xmlns:a16="http://schemas.microsoft.com/office/drawing/2014/main" id="{0BB7B012-464B-D097-1F57-C587B9B394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1238250</xdr:colOff>
      <xdr:row>1</xdr:row>
      <xdr:rowOff>0</xdr:rowOff>
    </xdr:from>
    <xdr:to>
      <xdr:col>15</xdr:col>
      <xdr:colOff>554691</xdr:colOff>
      <xdr:row>13</xdr:row>
      <xdr:rowOff>177053</xdr:rowOff>
    </xdr:to>
    <xdr:graphicFrame macro="">
      <xdr:nvGraphicFramePr>
        <xdr:cNvPr id="4" name="Chart 3">
          <a:extLst>
            <a:ext uri="{FF2B5EF4-FFF2-40B4-BE49-F238E27FC236}">
              <a16:creationId xmlns:a16="http://schemas.microsoft.com/office/drawing/2014/main" id="{F65D9279-C335-6092-57F4-85C885F602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319368</xdr:colOff>
      <xdr:row>39</xdr:row>
      <xdr:rowOff>124385</xdr:rowOff>
    </xdr:from>
    <xdr:to>
      <xdr:col>5</xdr:col>
      <xdr:colOff>39221</xdr:colOff>
      <xdr:row>54</xdr:row>
      <xdr:rowOff>10085</xdr:rowOff>
    </xdr:to>
    <xdr:graphicFrame macro="">
      <xdr:nvGraphicFramePr>
        <xdr:cNvPr id="5" name="Chart 4">
          <a:extLst>
            <a:ext uri="{FF2B5EF4-FFF2-40B4-BE49-F238E27FC236}">
              <a16:creationId xmlns:a16="http://schemas.microsoft.com/office/drawing/2014/main" id="{5ACEA530-5F8E-D0AD-B203-7320DFF1A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868454</xdr:colOff>
      <xdr:row>22</xdr:row>
      <xdr:rowOff>101972</xdr:rowOff>
    </xdr:from>
    <xdr:to>
      <xdr:col>12</xdr:col>
      <xdr:colOff>1490382</xdr:colOff>
      <xdr:row>38</xdr:row>
      <xdr:rowOff>33617</xdr:rowOff>
    </xdr:to>
    <xdr:graphicFrame macro="">
      <xdr:nvGraphicFramePr>
        <xdr:cNvPr id="6" name="Chart 5">
          <a:extLst>
            <a:ext uri="{FF2B5EF4-FFF2-40B4-BE49-F238E27FC236}">
              <a16:creationId xmlns:a16="http://schemas.microsoft.com/office/drawing/2014/main" id="{A8B37A21-FFA2-05C8-EC0F-3522873037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1641662</xdr:colOff>
      <xdr:row>46</xdr:row>
      <xdr:rowOff>79562</xdr:rowOff>
    </xdr:from>
    <xdr:to>
      <xdr:col>16</xdr:col>
      <xdr:colOff>352985</xdr:colOff>
      <xdr:row>60</xdr:row>
      <xdr:rowOff>155762</xdr:rowOff>
    </xdr:to>
    <xdr:graphicFrame macro="">
      <xdr:nvGraphicFramePr>
        <xdr:cNvPr id="7" name="Chart 6">
          <a:extLst>
            <a:ext uri="{FF2B5EF4-FFF2-40B4-BE49-F238E27FC236}">
              <a16:creationId xmlns:a16="http://schemas.microsoft.com/office/drawing/2014/main" id="{8BD2A054-4705-9F70-0560-DE28BC73F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162484</xdr:colOff>
      <xdr:row>43</xdr:row>
      <xdr:rowOff>12325</xdr:rowOff>
    </xdr:from>
    <xdr:to>
      <xdr:col>12</xdr:col>
      <xdr:colOff>1428748</xdr:colOff>
      <xdr:row>57</xdr:row>
      <xdr:rowOff>88525</xdr:rowOff>
    </xdr:to>
    <xdr:graphicFrame macro="">
      <xdr:nvGraphicFramePr>
        <xdr:cNvPr id="8" name="Chart 7">
          <a:extLst>
            <a:ext uri="{FF2B5EF4-FFF2-40B4-BE49-F238E27FC236}">
              <a16:creationId xmlns:a16="http://schemas.microsoft.com/office/drawing/2014/main" id="{A16DE15F-76C7-84D4-880B-F1528F6651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156882</xdr:colOff>
      <xdr:row>5</xdr:row>
      <xdr:rowOff>89647</xdr:rowOff>
    </xdr:from>
    <xdr:to>
      <xdr:col>9</xdr:col>
      <xdr:colOff>112059</xdr:colOff>
      <xdr:row>7</xdr:row>
      <xdr:rowOff>89647</xdr:rowOff>
    </xdr:to>
    <xdr:cxnSp macro="">
      <xdr:nvCxnSpPr>
        <xdr:cNvPr id="10" name="Straight Arrow Connector 9">
          <a:extLst>
            <a:ext uri="{FF2B5EF4-FFF2-40B4-BE49-F238E27FC236}">
              <a16:creationId xmlns:a16="http://schemas.microsoft.com/office/drawing/2014/main" id="{5924FE65-9A7C-3039-479E-33106730D441}"/>
            </a:ext>
          </a:extLst>
        </xdr:cNvPr>
        <xdr:cNvCxnSpPr/>
      </xdr:nvCxnSpPr>
      <xdr:spPr>
        <a:xfrm flipV="1">
          <a:off x="8639735" y="851647"/>
          <a:ext cx="1243853" cy="381000"/>
        </a:xfrm>
        <a:prstGeom prst="straightConnector1">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3</xdr:col>
      <xdr:colOff>22411</xdr:colOff>
      <xdr:row>14</xdr:row>
      <xdr:rowOff>44824</xdr:rowOff>
    </xdr:from>
    <xdr:to>
      <xdr:col>3</xdr:col>
      <xdr:colOff>672352</xdr:colOff>
      <xdr:row>17</xdr:row>
      <xdr:rowOff>112059</xdr:rowOff>
    </xdr:to>
    <xdr:cxnSp macro="">
      <xdr:nvCxnSpPr>
        <xdr:cNvPr id="12" name="Straight Arrow Connector 11">
          <a:extLst>
            <a:ext uri="{FF2B5EF4-FFF2-40B4-BE49-F238E27FC236}">
              <a16:creationId xmlns:a16="http://schemas.microsoft.com/office/drawing/2014/main" id="{B5AC3FA8-0784-7663-30BA-39F6049FE49D}"/>
            </a:ext>
          </a:extLst>
        </xdr:cNvPr>
        <xdr:cNvCxnSpPr/>
      </xdr:nvCxnSpPr>
      <xdr:spPr>
        <a:xfrm flipV="1">
          <a:off x="2947146" y="2521324"/>
          <a:ext cx="649941" cy="638735"/>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381000</xdr:colOff>
      <xdr:row>35</xdr:row>
      <xdr:rowOff>123265</xdr:rowOff>
    </xdr:from>
    <xdr:to>
      <xdr:col>2</xdr:col>
      <xdr:colOff>885265</xdr:colOff>
      <xdr:row>38</xdr:row>
      <xdr:rowOff>134471</xdr:rowOff>
    </xdr:to>
    <xdr:cxnSp macro="">
      <xdr:nvCxnSpPr>
        <xdr:cNvPr id="14" name="Straight Arrow Connector 13">
          <a:extLst>
            <a:ext uri="{FF2B5EF4-FFF2-40B4-BE49-F238E27FC236}">
              <a16:creationId xmlns:a16="http://schemas.microsoft.com/office/drawing/2014/main" id="{A5A1FB0C-7ACC-7128-FCD9-EC13871DB33B}"/>
            </a:ext>
          </a:extLst>
        </xdr:cNvPr>
        <xdr:cNvCxnSpPr/>
      </xdr:nvCxnSpPr>
      <xdr:spPr>
        <a:xfrm>
          <a:off x="2342029" y="6600265"/>
          <a:ext cx="504265" cy="582706"/>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212912</xdr:colOff>
      <xdr:row>39</xdr:row>
      <xdr:rowOff>22412</xdr:rowOff>
    </xdr:from>
    <xdr:to>
      <xdr:col>9</xdr:col>
      <xdr:colOff>1086971</xdr:colOff>
      <xdr:row>42</xdr:row>
      <xdr:rowOff>179294</xdr:rowOff>
    </xdr:to>
    <xdr:cxnSp macro="">
      <xdr:nvCxnSpPr>
        <xdr:cNvPr id="16" name="Straight Arrow Connector 15">
          <a:extLst>
            <a:ext uri="{FF2B5EF4-FFF2-40B4-BE49-F238E27FC236}">
              <a16:creationId xmlns:a16="http://schemas.microsoft.com/office/drawing/2014/main" id="{7534390A-4CEB-B55D-1D0A-CAFD951BB4F4}"/>
            </a:ext>
          </a:extLst>
        </xdr:cNvPr>
        <xdr:cNvCxnSpPr/>
      </xdr:nvCxnSpPr>
      <xdr:spPr>
        <a:xfrm>
          <a:off x="9984441" y="7261412"/>
          <a:ext cx="874059" cy="728382"/>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33618</xdr:colOff>
      <xdr:row>26</xdr:row>
      <xdr:rowOff>179294</xdr:rowOff>
    </xdr:from>
    <xdr:to>
      <xdr:col>9</xdr:col>
      <xdr:colOff>868454</xdr:colOff>
      <xdr:row>30</xdr:row>
      <xdr:rowOff>67794</xdr:rowOff>
    </xdr:to>
    <xdr:cxnSp macro="">
      <xdr:nvCxnSpPr>
        <xdr:cNvPr id="20" name="Straight Arrow Connector 19">
          <a:extLst>
            <a:ext uri="{FF2B5EF4-FFF2-40B4-BE49-F238E27FC236}">
              <a16:creationId xmlns:a16="http://schemas.microsoft.com/office/drawing/2014/main" id="{67FCE15A-E897-4CE6-506A-1573E7A1BB9C}"/>
            </a:ext>
          </a:extLst>
        </xdr:cNvPr>
        <xdr:cNvCxnSpPr>
          <a:endCxn id="6" idx="1"/>
        </xdr:cNvCxnSpPr>
      </xdr:nvCxnSpPr>
      <xdr:spPr>
        <a:xfrm>
          <a:off x="9805147" y="4941794"/>
          <a:ext cx="834836" cy="65050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246530</xdr:colOff>
      <xdr:row>10</xdr:row>
      <xdr:rowOff>78441</xdr:rowOff>
    </xdr:from>
    <xdr:to>
      <xdr:col>13</xdr:col>
      <xdr:colOff>1255059</xdr:colOff>
      <xdr:row>15</xdr:row>
      <xdr:rowOff>134471</xdr:rowOff>
    </xdr:to>
    <xdr:cxnSp macro="">
      <xdr:nvCxnSpPr>
        <xdr:cNvPr id="24" name="Straight Arrow Connector 23">
          <a:extLst>
            <a:ext uri="{FF2B5EF4-FFF2-40B4-BE49-F238E27FC236}">
              <a16:creationId xmlns:a16="http://schemas.microsoft.com/office/drawing/2014/main" id="{FACC8DD1-9039-1878-482B-859209F6F5E1}"/>
            </a:ext>
          </a:extLst>
        </xdr:cNvPr>
        <xdr:cNvCxnSpPr/>
      </xdr:nvCxnSpPr>
      <xdr:spPr>
        <a:xfrm flipV="1">
          <a:off x="16416618" y="1792941"/>
          <a:ext cx="1008529" cy="1008530"/>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2252383</xdr:colOff>
      <xdr:row>42</xdr:row>
      <xdr:rowOff>33618</xdr:rowOff>
    </xdr:from>
    <xdr:to>
      <xdr:col>13</xdr:col>
      <xdr:colOff>2868706</xdr:colOff>
      <xdr:row>46</xdr:row>
      <xdr:rowOff>134471</xdr:rowOff>
    </xdr:to>
    <xdr:cxnSp macro="">
      <xdr:nvCxnSpPr>
        <xdr:cNvPr id="26" name="Straight Arrow Connector 25">
          <a:extLst>
            <a:ext uri="{FF2B5EF4-FFF2-40B4-BE49-F238E27FC236}">
              <a16:creationId xmlns:a16="http://schemas.microsoft.com/office/drawing/2014/main" id="{4008C199-5041-9DD4-7F5A-93EC9E87B00B}"/>
            </a:ext>
          </a:extLst>
        </xdr:cNvPr>
        <xdr:cNvCxnSpPr/>
      </xdr:nvCxnSpPr>
      <xdr:spPr>
        <a:xfrm>
          <a:off x="18422471" y="7844118"/>
          <a:ext cx="616323" cy="862853"/>
        </a:xfrm>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19</xdr:col>
      <xdr:colOff>515471</xdr:colOff>
      <xdr:row>5</xdr:row>
      <xdr:rowOff>112059</xdr:rowOff>
    </xdr:from>
    <xdr:to>
      <xdr:col>22</xdr:col>
      <xdr:colOff>528918</xdr:colOff>
      <xdr:row>19</xdr:row>
      <xdr:rowOff>112059</xdr:rowOff>
    </xdr:to>
    <mc:AlternateContent xmlns:mc="http://schemas.openxmlformats.org/markup-compatibility/2006" xmlns:a14="http://schemas.microsoft.com/office/drawing/2010/main">
      <mc:Choice Requires="a14">
        <xdr:graphicFrame macro="">
          <xdr:nvGraphicFramePr>
            <xdr:cNvPr id="27" name="Price Category">
              <a:extLst>
                <a:ext uri="{FF2B5EF4-FFF2-40B4-BE49-F238E27FC236}">
                  <a16:creationId xmlns:a16="http://schemas.microsoft.com/office/drawing/2014/main" id="{E4566457-BAD4-056F-9D1B-1E3638E9A0E8}"/>
                </a:ext>
              </a:extLst>
            </xdr:cNvPr>
            <xdr:cNvGraphicFramePr/>
          </xdr:nvGraphicFramePr>
          <xdr:xfrm>
            <a:off x="0" y="0"/>
            <a:ext cx="0" cy="0"/>
          </xdr:xfrm>
          <a:graphic>
            <a:graphicData uri="http://schemas.microsoft.com/office/drawing/2010/slicer">
              <sle:slicer xmlns:sle="http://schemas.microsoft.com/office/drawing/2010/slicer" name="Price Category"/>
            </a:graphicData>
          </a:graphic>
        </xdr:graphicFrame>
      </mc:Choice>
      <mc:Fallback xmlns="">
        <xdr:sp macro="" textlink="">
          <xdr:nvSpPr>
            <xdr:cNvPr id="0" name=""/>
            <xdr:cNvSpPr>
              <a:spLocks noTextEdit="1"/>
            </xdr:cNvSpPr>
          </xdr:nvSpPr>
          <xdr:spPr>
            <a:xfrm>
              <a:off x="23274618" y="1064559"/>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188259</xdr:colOff>
      <xdr:row>2</xdr:row>
      <xdr:rowOff>25213</xdr:rowOff>
    </xdr:from>
    <xdr:to>
      <xdr:col>19</xdr:col>
      <xdr:colOff>201706</xdr:colOff>
      <xdr:row>16</xdr:row>
      <xdr:rowOff>25213</xdr:rowOff>
    </xdr:to>
    <mc:AlternateContent xmlns:mc="http://schemas.openxmlformats.org/markup-compatibility/2006" xmlns:a14="http://schemas.microsoft.com/office/drawing/2010/main">
      <mc:Choice Requires="a14">
        <xdr:graphicFrame macro="">
          <xdr:nvGraphicFramePr>
            <xdr:cNvPr id="28" name="Discount Category">
              <a:extLst>
                <a:ext uri="{FF2B5EF4-FFF2-40B4-BE49-F238E27FC236}">
                  <a16:creationId xmlns:a16="http://schemas.microsoft.com/office/drawing/2014/main" id="{E227F8A5-31A3-2985-683D-BFCF62DA903A}"/>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21132053" y="215713"/>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205068</xdr:colOff>
      <xdr:row>18</xdr:row>
      <xdr:rowOff>64435</xdr:rowOff>
    </xdr:from>
    <xdr:to>
      <xdr:col>19</xdr:col>
      <xdr:colOff>218515</xdr:colOff>
      <xdr:row>32</xdr:row>
      <xdr:rowOff>64435</xdr:rowOff>
    </xdr:to>
    <mc:AlternateContent xmlns:mc="http://schemas.openxmlformats.org/markup-compatibility/2006" xmlns:a14="http://schemas.microsoft.com/office/drawing/2010/main">
      <mc:Choice Requires="a14">
        <xdr:graphicFrame macro="">
          <xdr:nvGraphicFramePr>
            <xdr:cNvPr id="29" name="Rating Category">
              <a:extLst>
                <a:ext uri="{FF2B5EF4-FFF2-40B4-BE49-F238E27FC236}">
                  <a16:creationId xmlns:a16="http://schemas.microsoft.com/office/drawing/2014/main" id="{22174D60-9AEF-D6B5-5D1C-0342098189AE}"/>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21148862" y="349343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95250</xdr:colOff>
      <xdr:row>1</xdr:row>
      <xdr:rowOff>123265</xdr:rowOff>
    </xdr:from>
    <xdr:to>
      <xdr:col>6</xdr:col>
      <xdr:colOff>369794</xdr:colOff>
      <xdr:row>14</xdr:row>
      <xdr:rowOff>0</xdr:rowOff>
    </xdr:to>
    <xdr:graphicFrame macro="">
      <xdr:nvGraphicFramePr>
        <xdr:cNvPr id="9" name="Chart 8">
          <a:extLst>
            <a:ext uri="{FF2B5EF4-FFF2-40B4-BE49-F238E27FC236}">
              <a16:creationId xmlns:a16="http://schemas.microsoft.com/office/drawing/2014/main" id="{A286A153-C8B2-B9CF-A249-3B0BC4A47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66676</xdr:colOff>
      <xdr:row>0</xdr:row>
      <xdr:rowOff>76200</xdr:rowOff>
    </xdr:from>
    <xdr:to>
      <xdr:col>8</xdr:col>
      <xdr:colOff>523876</xdr:colOff>
      <xdr:row>3</xdr:row>
      <xdr:rowOff>95250</xdr:rowOff>
    </xdr:to>
    <xdr:sp macro="" textlink="">
      <xdr:nvSpPr>
        <xdr:cNvPr id="2" name="Rectangle: Rounded Corners 1">
          <a:extLst>
            <a:ext uri="{FF2B5EF4-FFF2-40B4-BE49-F238E27FC236}">
              <a16:creationId xmlns:a16="http://schemas.microsoft.com/office/drawing/2014/main" id="{89A1DFE2-9E18-B7B8-75E0-752225EC75CA}"/>
            </a:ext>
          </a:extLst>
        </xdr:cNvPr>
        <xdr:cNvSpPr/>
      </xdr:nvSpPr>
      <xdr:spPr>
        <a:xfrm>
          <a:off x="66676" y="76200"/>
          <a:ext cx="5391150" cy="59055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3200" b="1">
              <a:solidFill>
                <a:schemeClr val="accent2">
                  <a:lumMod val="75000"/>
                </a:schemeClr>
              </a:solidFill>
            </a:rPr>
            <a:t>JUMIA PRODUCT DASHBOARD</a:t>
          </a:r>
        </a:p>
      </xdr:txBody>
    </xdr:sp>
    <xdr:clientData/>
  </xdr:twoCellAnchor>
  <xdr:twoCellAnchor editAs="oneCell">
    <xdr:from>
      <xdr:col>11</xdr:col>
      <xdr:colOff>361390</xdr:colOff>
      <xdr:row>0</xdr:row>
      <xdr:rowOff>66675</xdr:rowOff>
    </xdr:from>
    <xdr:to>
      <xdr:col>14</xdr:col>
      <xdr:colOff>361390</xdr:colOff>
      <xdr:row>8</xdr:row>
      <xdr:rowOff>104775</xdr:rowOff>
    </xdr:to>
    <mc:AlternateContent xmlns:mc="http://schemas.openxmlformats.org/markup-compatibility/2006" xmlns:a14="http://schemas.microsoft.com/office/drawing/2010/main">
      <mc:Choice Requires="a14">
        <xdr:graphicFrame macro="">
          <xdr:nvGraphicFramePr>
            <xdr:cNvPr id="3" name="Discount Category 1">
              <a:extLst>
                <a:ext uri="{FF2B5EF4-FFF2-40B4-BE49-F238E27FC236}">
                  <a16:creationId xmlns:a16="http://schemas.microsoft.com/office/drawing/2014/main" id="{88E5BC9D-68A5-4660-BD5B-A8CBEEE3DC16}"/>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7124140" y="66675"/>
              <a:ext cx="1828800" cy="1562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132228</xdr:colOff>
      <xdr:row>0</xdr:row>
      <xdr:rowOff>87406</xdr:rowOff>
    </xdr:from>
    <xdr:to>
      <xdr:col>18</xdr:col>
      <xdr:colOff>132228</xdr:colOff>
      <xdr:row>8</xdr:row>
      <xdr:rowOff>115981</xdr:rowOff>
    </xdr:to>
    <mc:AlternateContent xmlns:mc="http://schemas.openxmlformats.org/markup-compatibility/2006" xmlns:a14="http://schemas.microsoft.com/office/drawing/2010/main">
      <mc:Choice Requires="a14">
        <xdr:graphicFrame macro="">
          <xdr:nvGraphicFramePr>
            <xdr:cNvPr id="4" name="Price Category 1">
              <a:extLst>
                <a:ext uri="{FF2B5EF4-FFF2-40B4-BE49-F238E27FC236}">
                  <a16:creationId xmlns:a16="http://schemas.microsoft.com/office/drawing/2014/main" id="{6A32F95F-D975-474E-9D34-5759B76EB0C9}"/>
                </a:ext>
              </a:extLst>
            </xdr:cNvPr>
            <xdr:cNvGraphicFramePr/>
          </xdr:nvGraphicFramePr>
          <xdr:xfrm>
            <a:off x="0" y="0"/>
            <a:ext cx="0" cy="0"/>
          </xdr:xfrm>
          <a:graphic>
            <a:graphicData uri="http://schemas.microsoft.com/office/drawing/2010/slicer">
              <sle:slicer xmlns:sle="http://schemas.microsoft.com/office/drawing/2010/slicer" name="Price Category 1"/>
            </a:graphicData>
          </a:graphic>
        </xdr:graphicFrame>
      </mc:Choice>
      <mc:Fallback xmlns="">
        <xdr:sp macro="" textlink="">
          <xdr:nvSpPr>
            <xdr:cNvPr id="0" name=""/>
            <xdr:cNvSpPr>
              <a:spLocks noTextEdit="1"/>
            </xdr:cNvSpPr>
          </xdr:nvSpPr>
          <xdr:spPr>
            <a:xfrm>
              <a:off x="9333378" y="87406"/>
              <a:ext cx="1828800" cy="155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532279</xdr:colOff>
      <xdr:row>0</xdr:row>
      <xdr:rowOff>55469</xdr:rowOff>
    </xdr:from>
    <xdr:to>
      <xdr:col>21</xdr:col>
      <xdr:colOff>532279</xdr:colOff>
      <xdr:row>9</xdr:row>
      <xdr:rowOff>169769</xdr:rowOff>
    </xdr:to>
    <mc:AlternateContent xmlns:mc="http://schemas.openxmlformats.org/markup-compatibility/2006" xmlns:a14="http://schemas.microsoft.com/office/drawing/2010/main">
      <mc:Choice Requires="a14">
        <xdr:graphicFrame macro="">
          <xdr:nvGraphicFramePr>
            <xdr:cNvPr id="5" name="Rating Category 1">
              <a:extLst>
                <a:ext uri="{FF2B5EF4-FFF2-40B4-BE49-F238E27FC236}">
                  <a16:creationId xmlns:a16="http://schemas.microsoft.com/office/drawing/2014/main" id="{D7E50CC3-2D91-4E3B-8CB6-284D2A80D1D6}"/>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mlns="">
        <xdr:sp macro="" textlink="">
          <xdr:nvSpPr>
            <xdr:cNvPr id="0" name=""/>
            <xdr:cNvSpPr>
              <a:spLocks noTextEdit="1"/>
            </xdr:cNvSpPr>
          </xdr:nvSpPr>
          <xdr:spPr>
            <a:xfrm>
              <a:off x="11562229" y="55469"/>
              <a:ext cx="1828800" cy="1828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41462</xdr:colOff>
      <xdr:row>0</xdr:row>
      <xdr:rowOff>76200</xdr:rowOff>
    </xdr:from>
    <xdr:to>
      <xdr:col>11</xdr:col>
      <xdr:colOff>246530</xdr:colOff>
      <xdr:row>3</xdr:row>
      <xdr:rowOff>66675</xdr:rowOff>
    </xdr:to>
    <xdr:sp macro="" textlink="">
      <xdr:nvSpPr>
        <xdr:cNvPr id="6" name="Rectangle: Rounded Corners 5">
          <a:extLst>
            <a:ext uri="{FF2B5EF4-FFF2-40B4-BE49-F238E27FC236}">
              <a16:creationId xmlns:a16="http://schemas.microsoft.com/office/drawing/2014/main" id="{A2796DBF-835E-0DE4-5CEA-5ABC94DE17D4}"/>
            </a:ext>
          </a:extLst>
        </xdr:cNvPr>
        <xdr:cNvSpPr/>
      </xdr:nvSpPr>
      <xdr:spPr>
        <a:xfrm>
          <a:off x="5554756" y="76200"/>
          <a:ext cx="1415303" cy="56197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accent2">
                  <a:lumMod val="75000"/>
                </a:schemeClr>
              </a:solidFill>
              <a:latin typeface="+mn-lt"/>
              <a:ea typeface="+mn-ea"/>
              <a:cs typeface="+mn-cs"/>
            </a:rPr>
            <a:t>Last Refreshed: </a:t>
          </a:r>
        </a:p>
        <a:p>
          <a:pPr algn="l"/>
          <a:r>
            <a:rPr lang="en-US" sz="1100" b="1" i="0" u="none" strike="noStrike">
              <a:solidFill>
                <a:srgbClr val="00B050"/>
              </a:solidFill>
              <a:effectLst/>
              <a:latin typeface="+mn-lt"/>
              <a:ea typeface="+mn-ea"/>
              <a:cs typeface="+mn-cs"/>
            </a:rPr>
            <a:t>September 05, 2026</a:t>
          </a:r>
        </a:p>
        <a:p>
          <a:pPr algn="l"/>
          <a:r>
            <a:rPr lang="en-US" sz="1100" b="1">
              <a:solidFill>
                <a:srgbClr val="00B050"/>
              </a:solidFill>
              <a:effectLst/>
            </a:rPr>
            <a:t> </a:t>
          </a:r>
          <a:endParaRPr lang="en-US" sz="1100" b="1">
            <a:solidFill>
              <a:srgbClr val="00B050"/>
            </a:solidFill>
          </a:endParaRPr>
        </a:p>
      </xdr:txBody>
    </xdr:sp>
    <xdr:clientData/>
  </xdr:twoCellAnchor>
  <xdr:twoCellAnchor>
    <xdr:from>
      <xdr:col>3</xdr:col>
      <xdr:colOff>180975</xdr:colOff>
      <xdr:row>8</xdr:row>
      <xdr:rowOff>123824</xdr:rowOff>
    </xdr:from>
    <xdr:to>
      <xdr:col>6</xdr:col>
      <xdr:colOff>495300</xdr:colOff>
      <xdr:row>11</xdr:row>
      <xdr:rowOff>38099</xdr:rowOff>
    </xdr:to>
    <xdr:sp macro="" textlink="">
      <xdr:nvSpPr>
        <xdr:cNvPr id="9" name="Rectangle: Rounded Corners 8">
          <a:extLst>
            <a:ext uri="{FF2B5EF4-FFF2-40B4-BE49-F238E27FC236}">
              <a16:creationId xmlns:a16="http://schemas.microsoft.com/office/drawing/2014/main" id="{A7078CB1-B08E-6B34-A90B-E85850B81177}"/>
            </a:ext>
          </a:extLst>
        </xdr:cNvPr>
        <xdr:cNvSpPr/>
      </xdr:nvSpPr>
      <xdr:spPr>
        <a:xfrm>
          <a:off x="2009775" y="1647824"/>
          <a:ext cx="2200275" cy="485775"/>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1">
              <a:solidFill>
                <a:schemeClr val="accent2">
                  <a:lumMod val="75000"/>
                </a:schemeClr>
              </a:solidFill>
            </a:rPr>
            <a:t>Avg Current</a:t>
          </a:r>
          <a:r>
            <a:rPr lang="en-US" sz="1100" b="1" baseline="0">
              <a:solidFill>
                <a:schemeClr val="accent2">
                  <a:lumMod val="75000"/>
                </a:schemeClr>
              </a:solidFill>
            </a:rPr>
            <a:t> Price : </a:t>
          </a:r>
          <a:r>
            <a:rPr lang="en-US" sz="1100" b="1" baseline="0">
              <a:solidFill>
                <a:srgbClr val="FFFF00"/>
              </a:solidFill>
            </a:rPr>
            <a:t>Ksh </a:t>
          </a:r>
          <a:r>
            <a:rPr lang="en-US" sz="1100" b="1" i="0" u="none" strike="noStrike">
              <a:solidFill>
                <a:srgbClr val="FFFF00"/>
              </a:solidFill>
              <a:effectLst/>
              <a:latin typeface="+mn-lt"/>
              <a:ea typeface="+mn-ea"/>
              <a:cs typeface="+mn-cs"/>
            </a:rPr>
            <a:t>1186.893</a:t>
          </a:r>
          <a:r>
            <a:rPr lang="en-US" sz="1100">
              <a:solidFill>
                <a:srgbClr val="FFFF00"/>
              </a:solidFill>
              <a:effectLst/>
            </a:rPr>
            <a:t> </a:t>
          </a:r>
          <a:endParaRPr lang="en-US" sz="1100" b="1" i="0" u="none" strike="noStrike">
            <a:solidFill>
              <a:srgbClr val="FFFF00"/>
            </a:solidFill>
            <a:effectLst/>
            <a:latin typeface="+mn-lt"/>
            <a:ea typeface="+mn-ea"/>
            <a:cs typeface="+mn-cs"/>
          </a:endParaRPr>
        </a:p>
        <a:p>
          <a:pPr algn="l"/>
          <a:r>
            <a:rPr lang="en-US" sz="1100" b="1" i="0" u="none" strike="noStrike">
              <a:solidFill>
                <a:schemeClr val="accent2">
                  <a:lumMod val="75000"/>
                </a:schemeClr>
              </a:solidFill>
              <a:effectLst/>
              <a:latin typeface="+mn-lt"/>
              <a:ea typeface="+mn-ea"/>
              <a:cs typeface="+mn-cs"/>
            </a:rPr>
            <a:t>Avg</a:t>
          </a:r>
          <a:r>
            <a:rPr lang="en-US" sz="1100" b="1" i="0" u="none" strike="noStrike" baseline="0">
              <a:solidFill>
                <a:schemeClr val="accent2">
                  <a:lumMod val="75000"/>
                </a:schemeClr>
              </a:solidFill>
              <a:effectLst/>
              <a:latin typeface="+mn-lt"/>
              <a:ea typeface="+mn-ea"/>
              <a:cs typeface="+mn-cs"/>
            </a:rPr>
            <a:t> Old Price : </a:t>
          </a:r>
          <a:r>
            <a:rPr lang="en-US" sz="1100" b="1" i="0" u="none" strike="noStrike" baseline="0">
              <a:solidFill>
                <a:srgbClr val="FFFF00"/>
              </a:solidFill>
              <a:effectLst/>
              <a:latin typeface="+mn-lt"/>
              <a:ea typeface="+mn-ea"/>
              <a:cs typeface="+mn-cs"/>
            </a:rPr>
            <a:t>Ksh </a:t>
          </a:r>
          <a:r>
            <a:rPr lang="en-US" sz="1100" b="1" i="0" u="none" strike="noStrike">
              <a:solidFill>
                <a:srgbClr val="FFFF00"/>
              </a:solidFill>
              <a:effectLst/>
              <a:latin typeface="+mn-lt"/>
              <a:ea typeface="+mn-ea"/>
              <a:cs typeface="+mn-cs"/>
            </a:rPr>
            <a:t>1811.107</a:t>
          </a:r>
          <a:r>
            <a:rPr lang="en-US" sz="1100">
              <a:solidFill>
                <a:srgbClr val="FFFF00"/>
              </a:solidFill>
              <a:effectLst/>
            </a:rPr>
            <a:t> </a:t>
          </a:r>
          <a:endParaRPr lang="en-US" sz="1100">
            <a:solidFill>
              <a:srgbClr val="FFFF00"/>
            </a:solidFill>
          </a:endParaRPr>
        </a:p>
      </xdr:txBody>
    </xdr:sp>
    <xdr:clientData/>
  </xdr:twoCellAnchor>
  <xdr:twoCellAnchor>
    <xdr:from>
      <xdr:col>0</xdr:col>
      <xdr:colOff>190500</xdr:colOff>
      <xdr:row>9</xdr:row>
      <xdr:rowOff>0</xdr:rowOff>
    </xdr:from>
    <xdr:to>
      <xdr:col>3</xdr:col>
      <xdr:colOff>28575</xdr:colOff>
      <xdr:row>10</xdr:row>
      <xdr:rowOff>152400</xdr:rowOff>
    </xdr:to>
    <xdr:sp macro="" textlink="">
      <xdr:nvSpPr>
        <xdr:cNvPr id="10" name="Rectangle: Rounded Corners 9">
          <a:extLst>
            <a:ext uri="{FF2B5EF4-FFF2-40B4-BE49-F238E27FC236}">
              <a16:creationId xmlns:a16="http://schemas.microsoft.com/office/drawing/2014/main" id="{14B336D4-DBC0-9B77-A90A-742D3B11B43C}"/>
            </a:ext>
          </a:extLst>
        </xdr:cNvPr>
        <xdr:cNvSpPr/>
      </xdr:nvSpPr>
      <xdr:spPr>
        <a:xfrm>
          <a:off x="190500" y="1714500"/>
          <a:ext cx="1666875" cy="3429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accent2">
                  <a:lumMod val="75000"/>
                </a:schemeClr>
              </a:solidFill>
            </a:rPr>
            <a:t>Total Products : </a:t>
          </a:r>
          <a:r>
            <a:rPr lang="en-US" sz="1400" b="1" i="0" u="none" strike="noStrike">
              <a:solidFill>
                <a:srgbClr val="FFFF00"/>
              </a:solidFill>
              <a:effectLst/>
              <a:latin typeface="+mn-lt"/>
              <a:ea typeface="+mn-ea"/>
              <a:cs typeface="+mn-cs"/>
            </a:rPr>
            <a:t>112</a:t>
          </a:r>
          <a:r>
            <a:rPr lang="en-US" sz="1400">
              <a:solidFill>
                <a:srgbClr val="FFC000"/>
              </a:solidFill>
              <a:effectLst/>
            </a:rPr>
            <a:t> </a:t>
          </a:r>
          <a:endParaRPr lang="en-US" sz="1400">
            <a:solidFill>
              <a:srgbClr val="FFC000"/>
            </a:solidFill>
          </a:endParaRPr>
        </a:p>
      </xdr:txBody>
    </xdr:sp>
    <xdr:clientData/>
  </xdr:twoCellAnchor>
  <xdr:twoCellAnchor>
    <xdr:from>
      <xdr:col>7</xdr:col>
      <xdr:colOff>247650</xdr:colOff>
      <xdr:row>9</xdr:row>
      <xdr:rowOff>9525</xdr:rowOff>
    </xdr:from>
    <xdr:to>
      <xdr:col>10</xdr:col>
      <xdr:colOff>323850</xdr:colOff>
      <xdr:row>10</xdr:row>
      <xdr:rowOff>123825</xdr:rowOff>
    </xdr:to>
    <xdr:sp macro="" textlink="">
      <xdr:nvSpPr>
        <xdr:cNvPr id="11" name="Rectangle: Rounded Corners 10">
          <a:extLst>
            <a:ext uri="{FF2B5EF4-FFF2-40B4-BE49-F238E27FC236}">
              <a16:creationId xmlns:a16="http://schemas.microsoft.com/office/drawing/2014/main" id="{C9851E84-395C-7898-FF4B-F5CED0B7D49D}"/>
            </a:ext>
          </a:extLst>
        </xdr:cNvPr>
        <xdr:cNvSpPr/>
      </xdr:nvSpPr>
      <xdr:spPr>
        <a:xfrm>
          <a:off x="4572000" y="1724025"/>
          <a:ext cx="1905000" cy="3048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2">
                  <a:lumMod val="75000"/>
                </a:schemeClr>
              </a:solidFill>
            </a:rPr>
            <a:t>Avg Discount : </a:t>
          </a:r>
          <a:r>
            <a:rPr lang="en-US" sz="1200" b="1" i="0" u="none" strike="noStrike">
              <a:solidFill>
                <a:srgbClr val="FFFF00"/>
              </a:solidFill>
              <a:effectLst/>
              <a:latin typeface="+mn-lt"/>
              <a:ea typeface="+mn-ea"/>
              <a:cs typeface="+mn-cs"/>
            </a:rPr>
            <a:t>36.8%</a:t>
          </a:r>
          <a:r>
            <a:rPr lang="en-US" sz="1200">
              <a:effectLst/>
            </a:rPr>
            <a:t> </a:t>
          </a:r>
          <a:endParaRPr lang="en-US" sz="1200" b="1">
            <a:solidFill>
              <a:schemeClr val="accent2">
                <a:lumMod val="75000"/>
              </a:schemeClr>
            </a:solidFill>
          </a:endParaRPr>
        </a:p>
      </xdr:txBody>
    </xdr:sp>
    <xdr:clientData/>
  </xdr:twoCellAnchor>
  <xdr:twoCellAnchor>
    <xdr:from>
      <xdr:col>10</xdr:col>
      <xdr:colOff>581025</xdr:colOff>
      <xdr:row>9</xdr:row>
      <xdr:rowOff>19050</xdr:rowOff>
    </xdr:from>
    <xdr:to>
      <xdr:col>13</xdr:col>
      <xdr:colOff>600075</xdr:colOff>
      <xdr:row>10</xdr:row>
      <xdr:rowOff>133350</xdr:rowOff>
    </xdr:to>
    <xdr:sp macro="" textlink="">
      <xdr:nvSpPr>
        <xdr:cNvPr id="12" name="Rectangle: Rounded Corners 11">
          <a:extLst>
            <a:ext uri="{FF2B5EF4-FFF2-40B4-BE49-F238E27FC236}">
              <a16:creationId xmlns:a16="http://schemas.microsoft.com/office/drawing/2014/main" id="{18D8A2B0-59E4-F9D7-EF24-5187EE9BB4F8}"/>
            </a:ext>
          </a:extLst>
        </xdr:cNvPr>
        <xdr:cNvSpPr/>
      </xdr:nvSpPr>
      <xdr:spPr>
        <a:xfrm>
          <a:off x="6734175" y="1733550"/>
          <a:ext cx="1847850" cy="304800"/>
        </a:xfrm>
        <a:prstGeom prst="roundRect">
          <a:avLst/>
        </a:prstGeom>
        <a:solidFill>
          <a:schemeClr val="accent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2">
                  <a:lumMod val="75000"/>
                </a:schemeClr>
              </a:solidFill>
            </a:rPr>
            <a:t>Avg Rating  :  </a:t>
          </a:r>
          <a:r>
            <a:rPr lang="en-US" sz="1200" b="1" i="0" u="none" strike="noStrike">
              <a:solidFill>
                <a:srgbClr val="FFFF00"/>
              </a:solidFill>
              <a:effectLst/>
              <a:latin typeface="+mn-lt"/>
              <a:ea typeface="+mn-ea"/>
              <a:cs typeface="+mn-cs"/>
            </a:rPr>
            <a:t>3.89</a:t>
          </a:r>
          <a:r>
            <a:rPr lang="en-US" sz="1200">
              <a:effectLst/>
            </a:rPr>
            <a:t> </a:t>
          </a:r>
          <a:endParaRPr lang="en-US" sz="1200"/>
        </a:p>
      </xdr:txBody>
    </xdr:sp>
    <xdr:clientData/>
  </xdr:twoCellAnchor>
  <xdr:twoCellAnchor>
    <xdr:from>
      <xdr:col>14</xdr:col>
      <xdr:colOff>76200</xdr:colOff>
      <xdr:row>9</xdr:row>
      <xdr:rowOff>9525</xdr:rowOff>
    </xdr:from>
    <xdr:to>
      <xdr:col>17</xdr:col>
      <xdr:colOff>28575</xdr:colOff>
      <xdr:row>10</xdr:row>
      <xdr:rowOff>123825</xdr:rowOff>
    </xdr:to>
    <xdr:sp macro="" textlink="">
      <xdr:nvSpPr>
        <xdr:cNvPr id="13" name="Rectangle: Rounded Corners 12">
          <a:extLst>
            <a:ext uri="{FF2B5EF4-FFF2-40B4-BE49-F238E27FC236}">
              <a16:creationId xmlns:a16="http://schemas.microsoft.com/office/drawing/2014/main" id="{B897FEF3-EE8D-3F8C-5266-FAA2FE9DB0A5}"/>
            </a:ext>
          </a:extLst>
        </xdr:cNvPr>
        <xdr:cNvSpPr/>
      </xdr:nvSpPr>
      <xdr:spPr>
        <a:xfrm>
          <a:off x="8667750" y="1724025"/>
          <a:ext cx="1781175" cy="3048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accent2">
                  <a:lumMod val="75000"/>
                </a:schemeClr>
              </a:solidFill>
            </a:rPr>
            <a:t>Total Reviews : </a:t>
          </a:r>
          <a:r>
            <a:rPr lang="en-US" sz="1100" b="1" i="0" u="none" strike="noStrike">
              <a:solidFill>
                <a:srgbClr val="FFFF00"/>
              </a:solidFill>
              <a:effectLst/>
              <a:latin typeface="+mn-lt"/>
              <a:ea typeface="+mn-ea"/>
              <a:cs typeface="+mn-cs"/>
            </a:rPr>
            <a:t>723</a:t>
          </a:r>
          <a:r>
            <a:rPr lang="en-US">
              <a:solidFill>
                <a:srgbClr val="FFFF00"/>
              </a:solidFill>
              <a:effectLst/>
            </a:rPr>
            <a:t> </a:t>
          </a:r>
          <a:endParaRPr lang="en-US" sz="1100">
            <a:solidFill>
              <a:srgbClr val="FFFF00"/>
            </a:solidFill>
          </a:endParaRPr>
        </a:p>
      </xdr:txBody>
    </xdr:sp>
    <xdr:clientData/>
  </xdr:twoCellAnchor>
  <xdr:twoCellAnchor>
    <xdr:from>
      <xdr:col>0</xdr:col>
      <xdr:colOff>123826</xdr:colOff>
      <xdr:row>11</xdr:row>
      <xdr:rowOff>133350</xdr:rowOff>
    </xdr:from>
    <xdr:to>
      <xdr:col>8</xdr:col>
      <xdr:colOff>155864</xdr:colOff>
      <xdr:row>27</xdr:row>
      <xdr:rowOff>64995</xdr:rowOff>
    </xdr:to>
    <xdr:graphicFrame macro="">
      <xdr:nvGraphicFramePr>
        <xdr:cNvPr id="14" name="Chart 13">
          <a:extLst>
            <a:ext uri="{FF2B5EF4-FFF2-40B4-BE49-F238E27FC236}">
              <a16:creationId xmlns:a16="http://schemas.microsoft.com/office/drawing/2014/main" id="{0AB99856-12AC-47B6-8701-9171DDDAAE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194575</xdr:colOff>
      <xdr:row>11</xdr:row>
      <xdr:rowOff>150770</xdr:rowOff>
    </xdr:from>
    <xdr:to>
      <xdr:col>15</xdr:col>
      <xdr:colOff>89647</xdr:colOff>
      <xdr:row>27</xdr:row>
      <xdr:rowOff>56029</xdr:rowOff>
    </xdr:to>
    <xdr:graphicFrame macro="">
      <xdr:nvGraphicFramePr>
        <xdr:cNvPr id="15" name="Chart 14">
          <a:extLst>
            <a:ext uri="{FF2B5EF4-FFF2-40B4-BE49-F238E27FC236}">
              <a16:creationId xmlns:a16="http://schemas.microsoft.com/office/drawing/2014/main" id="{57AE91FE-7B96-4AB0-AF58-4493DE2982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134477</xdr:colOff>
      <xdr:row>11</xdr:row>
      <xdr:rowOff>156881</xdr:rowOff>
    </xdr:from>
    <xdr:to>
      <xdr:col>21</xdr:col>
      <xdr:colOff>560299</xdr:colOff>
      <xdr:row>27</xdr:row>
      <xdr:rowOff>56028</xdr:rowOff>
    </xdr:to>
    <xdr:graphicFrame macro="">
      <xdr:nvGraphicFramePr>
        <xdr:cNvPr id="16" name="Chart 15">
          <a:extLst>
            <a:ext uri="{FF2B5EF4-FFF2-40B4-BE49-F238E27FC236}">
              <a16:creationId xmlns:a16="http://schemas.microsoft.com/office/drawing/2014/main" id="{0293A19C-DA4F-4B7E-B421-58A68A8381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145678</xdr:colOff>
      <xdr:row>28</xdr:row>
      <xdr:rowOff>145676</xdr:rowOff>
    </xdr:from>
    <xdr:to>
      <xdr:col>7</xdr:col>
      <xdr:colOff>291353</xdr:colOff>
      <xdr:row>43</xdr:row>
      <xdr:rowOff>31376</xdr:rowOff>
    </xdr:to>
    <xdr:graphicFrame macro="">
      <xdr:nvGraphicFramePr>
        <xdr:cNvPr id="21" name="Chart 20">
          <a:extLst>
            <a:ext uri="{FF2B5EF4-FFF2-40B4-BE49-F238E27FC236}">
              <a16:creationId xmlns:a16="http://schemas.microsoft.com/office/drawing/2014/main" id="{F43705A5-D2E7-46D9-B6E0-483C562ED0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425821</xdr:colOff>
      <xdr:row>28</xdr:row>
      <xdr:rowOff>141194</xdr:rowOff>
    </xdr:from>
    <xdr:to>
      <xdr:col>14</xdr:col>
      <xdr:colOff>414616</xdr:colOff>
      <xdr:row>43</xdr:row>
      <xdr:rowOff>26894</xdr:rowOff>
    </xdr:to>
    <xdr:graphicFrame macro="">
      <xdr:nvGraphicFramePr>
        <xdr:cNvPr id="22" name="Chart 21">
          <a:extLst>
            <a:ext uri="{FF2B5EF4-FFF2-40B4-BE49-F238E27FC236}">
              <a16:creationId xmlns:a16="http://schemas.microsoft.com/office/drawing/2014/main" id="{E003EAAA-F20E-426D-8C03-FCAAA5E171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504264</xdr:colOff>
      <xdr:row>28</xdr:row>
      <xdr:rowOff>131669</xdr:rowOff>
    </xdr:from>
    <xdr:to>
      <xdr:col>21</xdr:col>
      <xdr:colOff>571500</xdr:colOff>
      <xdr:row>43</xdr:row>
      <xdr:rowOff>17369</xdr:rowOff>
    </xdr:to>
    <xdr:graphicFrame macro="">
      <xdr:nvGraphicFramePr>
        <xdr:cNvPr id="23" name="Chart 22">
          <a:extLst>
            <a:ext uri="{FF2B5EF4-FFF2-40B4-BE49-F238E27FC236}">
              <a16:creationId xmlns:a16="http://schemas.microsoft.com/office/drawing/2014/main" id="{B2B0516E-EAAD-4C46-82D5-01085FAC1D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180974</xdr:colOff>
      <xdr:row>43</xdr:row>
      <xdr:rowOff>152400</xdr:rowOff>
    </xdr:from>
    <xdr:to>
      <xdr:col>7</xdr:col>
      <xdr:colOff>295275</xdr:colOff>
      <xdr:row>57</xdr:row>
      <xdr:rowOff>180975</xdr:rowOff>
    </xdr:to>
    <xdr:graphicFrame macro="">
      <xdr:nvGraphicFramePr>
        <xdr:cNvPr id="7" name="Chart 6">
          <a:extLst>
            <a:ext uri="{FF2B5EF4-FFF2-40B4-BE49-F238E27FC236}">
              <a16:creationId xmlns:a16="http://schemas.microsoft.com/office/drawing/2014/main" id="{05EE4033-18B8-4AF2-95F9-5A079D3619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390525</xdr:colOff>
      <xdr:row>43</xdr:row>
      <xdr:rowOff>180975</xdr:rowOff>
    </xdr:from>
    <xdr:to>
      <xdr:col>14</xdr:col>
      <xdr:colOff>466725</xdr:colOff>
      <xdr:row>57</xdr:row>
      <xdr:rowOff>152400</xdr:rowOff>
    </xdr:to>
    <xdr:graphicFrame macro="">
      <xdr:nvGraphicFramePr>
        <xdr:cNvPr id="8" name="Chart 7">
          <a:extLst>
            <a:ext uri="{FF2B5EF4-FFF2-40B4-BE49-F238E27FC236}">
              <a16:creationId xmlns:a16="http://schemas.microsoft.com/office/drawing/2014/main" id="{7FCFB2DC-E8BE-48F9-A014-1509F19D70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552451</xdr:colOff>
      <xdr:row>43</xdr:row>
      <xdr:rowOff>171451</xdr:rowOff>
    </xdr:from>
    <xdr:to>
      <xdr:col>21</xdr:col>
      <xdr:colOff>552451</xdr:colOff>
      <xdr:row>57</xdr:row>
      <xdr:rowOff>161925</xdr:rowOff>
    </xdr:to>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58D7B201-785E-63ED-78E7-443C5799A410}"/>
                </a:ext>
              </a:extLst>
            </xdr:cNvPr>
            <xdr:cNvSpPr txBox="1"/>
          </xdr:nvSpPr>
          <xdr:spPr>
            <a:xfrm>
              <a:off x="9144001" y="8362951"/>
              <a:ext cx="4267200" cy="26574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dk1"/>
                  </a:solidFill>
                  <a:effectLst/>
                  <a:latin typeface="+mn-lt"/>
                  <a:ea typeface="+mn-ea"/>
                  <a:cs typeface="+mn-cs"/>
                </a:rPr>
                <a:t>                               </a:t>
              </a:r>
              <a:r>
                <a:rPr lang="en-US" sz="1100" b="1" u="sng">
                  <a:solidFill>
                    <a:schemeClr val="accent2">
                      <a:lumMod val="75000"/>
                    </a:schemeClr>
                  </a:solidFill>
                  <a:effectLst/>
                  <a:latin typeface="+mn-lt"/>
                  <a:ea typeface="+mn-ea"/>
                  <a:cs typeface="+mn-cs"/>
                </a:rPr>
                <a:t>Data Notes, Assumptions &amp; Thresholds</a:t>
              </a:r>
            </a:p>
            <a:p>
              <a:endParaRPr lang="en-US" sz="1100" u="sng">
                <a:solidFill>
                  <a:srgbClr val="FF0000"/>
                </a:solidFill>
                <a:effectLst/>
                <a:latin typeface="+mn-lt"/>
                <a:ea typeface="+mn-ea"/>
                <a:cs typeface="+mn-cs"/>
              </a:endParaRPr>
            </a:p>
            <a:p>
              <a:pPr lvl="0"/>
              <a:r>
                <a:rPr lang="en-US" sz="1100" b="1">
                  <a:solidFill>
                    <a:schemeClr val="accent2">
                      <a:lumMod val="75000"/>
                    </a:schemeClr>
                  </a:solidFill>
                  <a:effectLst/>
                  <a:latin typeface="+mn-lt"/>
                  <a:ea typeface="+mn-ea"/>
                  <a:cs typeface="+mn-cs"/>
                </a:rPr>
                <a:t>Category Thresholds:</a:t>
              </a:r>
              <a:endParaRPr lang="en-US" sz="1100">
                <a:solidFill>
                  <a:schemeClr val="accent2">
                    <a:lumMod val="75000"/>
                  </a:schemeClr>
                </a:solidFill>
                <a:effectLst/>
                <a:latin typeface="+mn-lt"/>
                <a:ea typeface="+mn-ea"/>
                <a:cs typeface="+mn-cs"/>
              </a:endParaRPr>
            </a:p>
            <a:p>
              <a:pPr lvl="1"/>
              <a:r>
                <a:rPr lang="en-US" sz="1100" b="1">
                  <a:solidFill>
                    <a:srgbClr val="00B050"/>
                  </a:solidFill>
                  <a:effectLst/>
                  <a:latin typeface="+mn-lt"/>
                  <a:ea typeface="+mn-ea"/>
                  <a:cs typeface="+mn-cs"/>
                </a:rPr>
                <a:t>Price:</a:t>
              </a:r>
              <a:r>
                <a:rPr lang="en-US" sz="1100">
                  <a:solidFill>
                    <a:srgbClr val="00B050"/>
                  </a:solidFill>
                  <a:effectLst/>
                  <a:latin typeface="+mn-lt"/>
                  <a:ea typeface="+mn-ea"/>
                  <a:cs typeface="+mn-cs"/>
                </a:rPr>
                <a:t> </a:t>
              </a:r>
              <a:r>
                <a:rPr lang="en-US" sz="1100">
                  <a:solidFill>
                    <a:schemeClr val="dk1"/>
                  </a:solidFill>
                  <a:effectLst/>
                  <a:latin typeface="+mn-lt"/>
                  <a:ea typeface="+mn-ea"/>
                  <a:cs typeface="+mn-cs"/>
                </a:rPr>
                <a:t>Low (</a:t>
              </a:r>
              <a14:m>
                <m:oMath xmlns:m="http://schemas.openxmlformats.org/officeDocument/2006/math">
                  <m:r>
                    <a:rPr lang="en-US" sz="1100">
                      <a:solidFill>
                        <a:schemeClr val="dk1"/>
                      </a:solidFill>
                      <a:latin typeface="Cambria Math" panose="02040503050406030204" pitchFamily="18" charset="0"/>
                      <a:ea typeface="+mn-ea"/>
                      <a:cs typeface="+mn-cs"/>
                    </a:rPr>
                    <m:t>≤</m:t>
                  </m:r>
                </m:oMath>
              </a14:m>
              <a:r>
                <a:rPr lang="en-US" sz="1100">
                  <a:solidFill>
                    <a:schemeClr val="dk1"/>
                  </a:solidFill>
                  <a:effectLst/>
                  <a:latin typeface="+mn-lt"/>
                  <a:ea typeface="+mn-ea"/>
                  <a:cs typeface="+mn-cs"/>
                </a:rPr>
                <a:t> KSh 493.00), Medium (KSh 493.01 – KSh 1,669.50), High (</a:t>
              </a:r>
              <a14:m>
                <m:oMath xmlns:m="http://schemas.openxmlformats.org/officeDocument/2006/math">
                  <m:r>
                    <a:rPr lang="en-US" sz="1100">
                      <a:solidFill>
                        <a:schemeClr val="dk1"/>
                      </a:solidFill>
                      <a:latin typeface="Cambria Math" panose="02040503050406030204" pitchFamily="18" charset="0"/>
                      <a:ea typeface="+mn-ea"/>
                      <a:cs typeface="+mn-cs"/>
                    </a:rPr>
                    <m:t>&gt;</m:t>
                  </m:r>
                </m:oMath>
              </a14:m>
              <a:r>
                <a:rPr lang="en-US" sz="1100">
                  <a:solidFill>
                    <a:schemeClr val="dk1"/>
                  </a:solidFill>
                  <a:effectLst/>
                  <a:latin typeface="+mn-lt"/>
                  <a:ea typeface="+mn-ea"/>
                  <a:cs typeface="+mn-cs"/>
                </a:rPr>
                <a:t> KSh 1,669.50) based on catalog Quartiles (</a:t>
              </a:r>
              <a14:m>
                <m:oMath xmlns:m="http://schemas.openxmlformats.org/officeDocument/2006/math">
                  <m:sSub>
                    <m:sSubPr>
                      <m:ctrlPr>
                        <a:rPr lang="en-US" sz="1100" i="1">
                          <a:solidFill>
                            <a:schemeClr val="dk1"/>
                          </a:solidFill>
                          <a:latin typeface="Cambria Math" panose="02040503050406030204" pitchFamily="18" charset="0"/>
                          <a:ea typeface="+mn-ea"/>
                          <a:cs typeface="+mn-cs"/>
                        </a:rPr>
                      </m:ctrlPr>
                    </m:sSubPr>
                    <m:e>
                      <m:r>
                        <a:rPr lang="en-US" sz="1100" i="1">
                          <a:solidFill>
                            <a:schemeClr val="dk1"/>
                          </a:solidFill>
                          <a:latin typeface="Cambria Math" panose="02040503050406030204" pitchFamily="18" charset="0"/>
                          <a:ea typeface="+mn-ea"/>
                          <a:cs typeface="+mn-cs"/>
                        </a:rPr>
                        <m:t>𝑄</m:t>
                      </m:r>
                    </m:e>
                    <m:sub>
                      <m:r>
                        <a:rPr lang="en-US" sz="1100" i="0">
                          <a:solidFill>
                            <a:schemeClr val="dk1"/>
                          </a:solidFill>
                          <a:latin typeface="Cambria Math" panose="02040503050406030204" pitchFamily="18" charset="0"/>
                          <a:ea typeface="+mn-ea"/>
                          <a:cs typeface="+mn-cs"/>
                        </a:rPr>
                        <m:t>1</m:t>
                      </m:r>
                    </m:sub>
                  </m:sSub>
                </m:oMath>
              </a14:m>
              <a:r>
                <a:rPr lang="en-US" sz="1100">
                  <a:solidFill>
                    <a:schemeClr val="dk1"/>
                  </a:solidFill>
                  <a:effectLst/>
                  <a:latin typeface="+mn-lt"/>
                  <a:ea typeface="+mn-ea"/>
                  <a:cs typeface="+mn-cs"/>
                </a:rPr>
                <a:t>, </a:t>
              </a:r>
              <a14:m>
                <m:oMath xmlns:m="http://schemas.openxmlformats.org/officeDocument/2006/math">
                  <m:sSub>
                    <m:sSubPr>
                      <m:ctrlPr>
                        <a:rPr lang="en-US" sz="1100" i="1">
                          <a:solidFill>
                            <a:schemeClr val="dk1"/>
                          </a:solidFill>
                          <a:latin typeface="Cambria Math" panose="02040503050406030204" pitchFamily="18" charset="0"/>
                          <a:ea typeface="+mn-ea"/>
                          <a:cs typeface="+mn-cs"/>
                        </a:rPr>
                      </m:ctrlPr>
                    </m:sSubPr>
                    <m:e>
                      <m:r>
                        <a:rPr lang="en-US" sz="1100" i="1">
                          <a:solidFill>
                            <a:schemeClr val="dk1"/>
                          </a:solidFill>
                          <a:latin typeface="Cambria Math" panose="02040503050406030204" pitchFamily="18" charset="0"/>
                          <a:ea typeface="+mn-ea"/>
                          <a:cs typeface="+mn-cs"/>
                        </a:rPr>
                        <m:t>𝑄</m:t>
                      </m:r>
                    </m:e>
                    <m:sub>
                      <m:r>
                        <a:rPr lang="en-US" sz="1100" i="0">
                          <a:solidFill>
                            <a:schemeClr val="dk1"/>
                          </a:solidFill>
                          <a:latin typeface="Cambria Math" panose="02040503050406030204" pitchFamily="18" charset="0"/>
                          <a:ea typeface="+mn-ea"/>
                          <a:cs typeface="+mn-cs"/>
                        </a:rPr>
                        <m:t>3</m:t>
                      </m:r>
                    </m:sub>
                  </m:sSub>
                </m:oMath>
              </a14:m>
              <a:r>
                <a:rPr lang="en-US" sz="1100">
                  <a:solidFill>
                    <a:schemeClr val="dk1"/>
                  </a:solidFill>
                  <a:effectLst/>
                  <a:latin typeface="+mn-lt"/>
                  <a:ea typeface="+mn-ea"/>
                  <a:cs typeface="+mn-cs"/>
                </a:rPr>
                <a:t>).</a:t>
              </a:r>
            </a:p>
            <a:p>
              <a:pPr lvl="1"/>
              <a:r>
                <a:rPr lang="en-US" sz="1100" b="1">
                  <a:solidFill>
                    <a:srgbClr val="00B050"/>
                  </a:solidFill>
                  <a:effectLst/>
                  <a:latin typeface="+mn-lt"/>
                  <a:ea typeface="+mn-ea"/>
                  <a:cs typeface="+mn-cs"/>
                </a:rPr>
                <a:t>Discount:</a:t>
              </a:r>
              <a:r>
                <a:rPr lang="en-US" sz="1100">
                  <a:solidFill>
                    <a:srgbClr val="00B050"/>
                  </a:solidFill>
                  <a:effectLst/>
                  <a:latin typeface="+mn-lt"/>
                  <a:ea typeface="+mn-ea"/>
                  <a:cs typeface="+mn-cs"/>
                </a:rPr>
                <a:t> </a:t>
              </a:r>
              <a:r>
                <a:rPr lang="en-US" sz="1100">
                  <a:solidFill>
                    <a:schemeClr val="dk1"/>
                  </a:solidFill>
                  <a:effectLst/>
                  <a:latin typeface="+mn-lt"/>
                  <a:ea typeface="+mn-ea"/>
                  <a:cs typeface="+mn-cs"/>
                </a:rPr>
                <a:t>Low (</a:t>
              </a:r>
              <a14:m>
                <m:oMath xmlns:m="http://schemas.openxmlformats.org/officeDocument/2006/math">
                  <m:r>
                    <a:rPr lang="en-US" sz="1100">
                      <a:solidFill>
                        <a:schemeClr val="dk1"/>
                      </a:solidFill>
                      <a:latin typeface="Cambria Math" panose="02040503050406030204" pitchFamily="18" charset="0"/>
                      <a:ea typeface="+mn-ea"/>
                      <a:cs typeface="+mn-cs"/>
                    </a:rPr>
                    <m:t>&lt;</m:t>
                  </m:r>
                </m:oMath>
              </a14:m>
              <a:r>
                <a:rPr lang="en-US" sz="1100">
                  <a:solidFill>
                    <a:schemeClr val="dk1"/>
                  </a:solidFill>
                  <a:effectLst/>
                  <a:latin typeface="+mn-lt"/>
                  <a:ea typeface="+mn-ea"/>
                  <a:cs typeface="+mn-cs"/>
                </a:rPr>
                <a:t> 20%), Medium (20% – 40%), High (</a:t>
              </a:r>
              <a14:m>
                <m:oMath xmlns:m="http://schemas.openxmlformats.org/officeDocument/2006/math">
                  <m:r>
                    <a:rPr lang="en-US" sz="1100">
                      <a:solidFill>
                        <a:schemeClr val="dk1"/>
                      </a:solidFill>
                      <a:latin typeface="Cambria Math" panose="02040503050406030204" pitchFamily="18" charset="0"/>
                      <a:ea typeface="+mn-ea"/>
                      <a:cs typeface="+mn-cs"/>
                    </a:rPr>
                    <m:t>&gt;</m:t>
                  </m:r>
                </m:oMath>
              </a14:m>
              <a:r>
                <a:rPr lang="en-US" sz="1100">
                  <a:solidFill>
                    <a:schemeClr val="dk1"/>
                  </a:solidFill>
                  <a:effectLst/>
                  <a:latin typeface="+mn-lt"/>
                  <a:ea typeface="+mn-ea"/>
                  <a:cs typeface="+mn-cs"/>
                </a:rPr>
                <a:t> 40%).</a:t>
              </a:r>
            </a:p>
            <a:p>
              <a:pPr lvl="1"/>
              <a:r>
                <a:rPr lang="en-US" sz="1100" b="1">
                  <a:solidFill>
                    <a:srgbClr val="00B050"/>
                  </a:solidFill>
                  <a:effectLst/>
                  <a:latin typeface="+mn-lt"/>
                  <a:ea typeface="+mn-ea"/>
                  <a:cs typeface="+mn-cs"/>
                </a:rPr>
                <a:t>Rating:</a:t>
              </a:r>
              <a:r>
                <a:rPr lang="en-US" sz="1100">
                  <a:solidFill>
                    <a:srgbClr val="00B050"/>
                  </a:solidFill>
                  <a:effectLst/>
                  <a:latin typeface="+mn-lt"/>
                  <a:ea typeface="+mn-ea"/>
                  <a:cs typeface="+mn-cs"/>
                </a:rPr>
                <a:t> </a:t>
              </a:r>
              <a:r>
                <a:rPr lang="en-US" sz="1100">
                  <a:solidFill>
                    <a:schemeClr val="dk1"/>
                  </a:solidFill>
                  <a:effectLst/>
                  <a:latin typeface="+mn-lt"/>
                  <a:ea typeface="+mn-ea"/>
                  <a:cs typeface="+mn-cs"/>
                </a:rPr>
                <a:t>Poor (</a:t>
              </a:r>
              <a14:m>
                <m:oMath xmlns:m="http://schemas.openxmlformats.org/officeDocument/2006/math">
                  <m:r>
                    <a:rPr lang="en-US" sz="1100">
                      <a:solidFill>
                        <a:schemeClr val="dk1"/>
                      </a:solidFill>
                      <a:latin typeface="Cambria Math" panose="02040503050406030204" pitchFamily="18" charset="0"/>
                      <a:ea typeface="+mn-ea"/>
                      <a:cs typeface="+mn-cs"/>
                    </a:rPr>
                    <m:t>&lt;</m:t>
                  </m:r>
                </m:oMath>
              </a14:m>
              <a:r>
                <a:rPr lang="en-US" sz="1100">
                  <a:solidFill>
                    <a:schemeClr val="dk1"/>
                  </a:solidFill>
                  <a:effectLst/>
                  <a:latin typeface="+mn-lt"/>
                  <a:ea typeface="+mn-ea"/>
                  <a:cs typeface="+mn-cs"/>
                </a:rPr>
                <a:t> 3.0), Average (3.0 – 4.5), Excellent (</a:t>
              </a:r>
              <a14:m>
                <m:oMath xmlns:m="http://schemas.openxmlformats.org/officeDocument/2006/math">
                  <m:r>
                    <a:rPr lang="en-US" sz="1100">
                      <a:solidFill>
                        <a:schemeClr val="dk1"/>
                      </a:solidFill>
                      <a:latin typeface="Cambria Math" panose="02040503050406030204" pitchFamily="18" charset="0"/>
                      <a:ea typeface="+mn-ea"/>
                      <a:cs typeface="+mn-cs"/>
                    </a:rPr>
                    <m:t>&gt;</m:t>
                  </m:r>
                </m:oMath>
              </a14:m>
              <a:r>
                <a:rPr lang="en-US" sz="1100">
                  <a:solidFill>
                    <a:schemeClr val="dk1"/>
                  </a:solidFill>
                  <a:effectLst/>
                  <a:latin typeface="+mn-lt"/>
                  <a:ea typeface="+mn-ea"/>
                  <a:cs typeface="+mn-cs"/>
                </a:rPr>
                <a:t> 4.5).</a:t>
              </a:r>
            </a:p>
            <a:p>
              <a:pPr lvl="1"/>
              <a:endParaRPr lang="en-US" sz="1100">
                <a:solidFill>
                  <a:schemeClr val="dk1"/>
                </a:solidFill>
                <a:effectLst/>
                <a:latin typeface="+mn-lt"/>
                <a:ea typeface="+mn-ea"/>
                <a:cs typeface="+mn-cs"/>
              </a:endParaRPr>
            </a:p>
            <a:p>
              <a:pPr lvl="0"/>
              <a:r>
                <a:rPr lang="en-US" sz="1100" b="1">
                  <a:solidFill>
                    <a:schemeClr val="accent2">
                      <a:lumMod val="75000"/>
                    </a:schemeClr>
                  </a:solidFill>
                  <a:effectLst/>
                  <a:latin typeface="+mn-lt"/>
                  <a:ea typeface="+mn-ea"/>
                  <a:cs typeface="+mn-cs"/>
                </a:rPr>
                <a:t>Missing Values:</a:t>
              </a:r>
              <a:r>
                <a:rPr lang="en-US" sz="1100">
                  <a:solidFill>
                    <a:schemeClr val="accent2">
                      <a:lumMod val="75000"/>
                    </a:schemeClr>
                  </a:solidFill>
                  <a:effectLst/>
                  <a:latin typeface="+mn-lt"/>
                  <a:ea typeface="+mn-ea"/>
                  <a:cs typeface="+mn-cs"/>
                </a:rPr>
                <a:t> </a:t>
              </a:r>
              <a:r>
                <a:rPr lang="en-US" sz="1100">
                  <a:solidFill>
                    <a:schemeClr val="dk1"/>
                  </a:solidFill>
                  <a:effectLst/>
                  <a:latin typeface="+mn-lt"/>
                  <a:ea typeface="+mn-ea"/>
                  <a:cs typeface="+mn-cs"/>
                </a:rPr>
                <a:t>Blank ratings and reviews are treated as </a:t>
              </a:r>
              <a:r>
                <a:rPr lang="en-US" sz="1100" b="1">
                  <a:solidFill>
                    <a:schemeClr val="dk1"/>
                  </a:solidFill>
                  <a:effectLst/>
                  <a:latin typeface="+mn-lt"/>
                  <a:ea typeface="+mn-ea"/>
                  <a:cs typeface="+mn-cs"/>
                </a:rPr>
                <a:t>uncaptured data </a:t>
              </a:r>
              <a:r>
                <a:rPr lang="en-US" sz="1100">
                  <a:solidFill>
                    <a:schemeClr val="dk1"/>
                  </a:solidFill>
                  <a:effectLst/>
                  <a:latin typeface="+mn-lt"/>
                  <a:ea typeface="+mn-ea"/>
                  <a:cs typeface="+mn-cs"/>
                </a:rPr>
                <a:t>rather than zeros and are </a:t>
              </a:r>
              <a:r>
                <a:rPr lang="en-US" sz="1100" b="1">
                  <a:solidFill>
                    <a:schemeClr val="dk1"/>
                  </a:solidFill>
                  <a:effectLst/>
                  <a:latin typeface="+mn-lt"/>
                  <a:ea typeface="+mn-ea"/>
                  <a:cs typeface="+mn-cs"/>
                </a:rPr>
                <a:t>excluded</a:t>
              </a:r>
              <a:r>
                <a:rPr lang="en-US" sz="1100">
                  <a:solidFill>
                    <a:schemeClr val="dk1"/>
                  </a:solidFill>
                  <a:effectLst/>
                  <a:latin typeface="+mn-lt"/>
                  <a:ea typeface="+mn-ea"/>
                  <a:cs typeface="+mn-cs"/>
                </a:rPr>
                <a:t> from pairwise calculations to prevent metric skew.</a:t>
              </a:r>
            </a:p>
            <a:p>
              <a:pPr lvl="0"/>
              <a:endParaRPr lang="en-US" sz="1100">
                <a:solidFill>
                  <a:schemeClr val="dk1"/>
                </a:solidFill>
                <a:effectLst/>
                <a:latin typeface="+mn-lt"/>
                <a:ea typeface="+mn-ea"/>
                <a:cs typeface="+mn-cs"/>
              </a:endParaRPr>
            </a:p>
            <a:p>
              <a:pPr lvl="0"/>
              <a:r>
                <a:rPr lang="en-US" sz="1100" b="1">
                  <a:solidFill>
                    <a:schemeClr val="accent2">
                      <a:lumMod val="75000"/>
                    </a:schemeClr>
                  </a:solidFill>
                  <a:effectLst/>
                  <a:latin typeface="+mn-lt"/>
                  <a:ea typeface="+mn-ea"/>
                  <a:cs typeface="+mn-cs"/>
                </a:rPr>
                <a:t>Engagement Proxy:</a:t>
              </a:r>
              <a:r>
                <a:rPr lang="en-US" sz="1100">
                  <a:solidFill>
                    <a:schemeClr val="accent2">
                      <a:lumMod val="75000"/>
                    </a:schemeClr>
                  </a:solidFill>
                  <a:effectLst/>
                  <a:latin typeface="+mn-lt"/>
                  <a:ea typeface="+mn-ea"/>
                  <a:cs typeface="+mn-cs"/>
                </a:rPr>
                <a:t> </a:t>
              </a:r>
              <a:r>
                <a:rPr lang="en-US" sz="1100">
                  <a:solidFill>
                    <a:schemeClr val="dk1"/>
                  </a:solidFill>
                  <a:effectLst/>
                  <a:latin typeface="+mn-lt"/>
                  <a:ea typeface="+mn-ea"/>
                  <a:cs typeface="+mn-cs"/>
                </a:rPr>
                <a:t>Review counts serve as a customer engagement proxy because units sold and total revenue are omitted from the source data. Review volume </a:t>
              </a:r>
              <a:r>
                <a:rPr lang="en-US" sz="1100" b="1">
                  <a:solidFill>
                    <a:schemeClr val="dk1"/>
                  </a:solidFill>
                  <a:effectLst/>
                  <a:latin typeface="+mn-lt"/>
                  <a:ea typeface="+mn-ea"/>
                  <a:cs typeface="+mn-cs"/>
                </a:rPr>
                <a:t>does not prove </a:t>
              </a:r>
              <a:r>
                <a:rPr lang="en-US" sz="1100">
                  <a:solidFill>
                    <a:schemeClr val="dk1"/>
                  </a:solidFill>
                  <a:effectLst/>
                  <a:latin typeface="+mn-lt"/>
                  <a:ea typeface="+mn-ea"/>
                  <a:cs typeface="+mn-cs"/>
                </a:rPr>
                <a:t>causation or direct sales volume.</a:t>
              </a:r>
            </a:p>
          </xdr:txBody>
        </xdr:sp>
      </mc:Choice>
      <mc:Fallback xmlns="">
        <xdr:sp macro="" textlink="">
          <xdr:nvSpPr>
            <xdr:cNvPr id="17" name="TextBox 16">
              <a:extLst>
                <a:ext uri="{FF2B5EF4-FFF2-40B4-BE49-F238E27FC236}">
                  <a16:creationId xmlns:a16="http://schemas.microsoft.com/office/drawing/2014/main" id="{58D7B201-785E-63ED-78E7-443C5799A410}"/>
                </a:ext>
              </a:extLst>
            </xdr:cNvPr>
            <xdr:cNvSpPr txBox="1"/>
          </xdr:nvSpPr>
          <xdr:spPr>
            <a:xfrm>
              <a:off x="9144001" y="8362951"/>
              <a:ext cx="4267200" cy="26574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b="1">
                  <a:solidFill>
                    <a:schemeClr val="dk1"/>
                  </a:solidFill>
                  <a:effectLst/>
                  <a:latin typeface="+mn-lt"/>
                  <a:ea typeface="+mn-ea"/>
                  <a:cs typeface="+mn-cs"/>
                </a:rPr>
                <a:t>                               </a:t>
              </a:r>
              <a:r>
                <a:rPr lang="en-US" sz="1100" b="1" u="sng">
                  <a:solidFill>
                    <a:schemeClr val="accent2">
                      <a:lumMod val="75000"/>
                    </a:schemeClr>
                  </a:solidFill>
                  <a:effectLst/>
                  <a:latin typeface="+mn-lt"/>
                  <a:ea typeface="+mn-ea"/>
                  <a:cs typeface="+mn-cs"/>
                </a:rPr>
                <a:t>Data Notes, Assumptions &amp; Thresholds</a:t>
              </a:r>
            </a:p>
            <a:p>
              <a:endParaRPr lang="en-US" sz="1100" u="sng">
                <a:solidFill>
                  <a:srgbClr val="FF0000"/>
                </a:solidFill>
                <a:effectLst/>
                <a:latin typeface="+mn-lt"/>
                <a:ea typeface="+mn-ea"/>
                <a:cs typeface="+mn-cs"/>
              </a:endParaRPr>
            </a:p>
            <a:p>
              <a:pPr lvl="0"/>
              <a:r>
                <a:rPr lang="en-US" sz="1100" b="1">
                  <a:solidFill>
                    <a:schemeClr val="accent2">
                      <a:lumMod val="75000"/>
                    </a:schemeClr>
                  </a:solidFill>
                  <a:effectLst/>
                  <a:latin typeface="+mn-lt"/>
                  <a:ea typeface="+mn-ea"/>
                  <a:cs typeface="+mn-cs"/>
                </a:rPr>
                <a:t>Category Thresholds:</a:t>
              </a:r>
              <a:endParaRPr lang="en-US" sz="1100">
                <a:solidFill>
                  <a:schemeClr val="accent2">
                    <a:lumMod val="75000"/>
                  </a:schemeClr>
                </a:solidFill>
                <a:effectLst/>
                <a:latin typeface="+mn-lt"/>
                <a:ea typeface="+mn-ea"/>
                <a:cs typeface="+mn-cs"/>
              </a:endParaRPr>
            </a:p>
            <a:p>
              <a:pPr lvl="1"/>
              <a:r>
                <a:rPr lang="en-US" sz="1100" b="1">
                  <a:solidFill>
                    <a:srgbClr val="00B050"/>
                  </a:solidFill>
                  <a:effectLst/>
                  <a:latin typeface="+mn-lt"/>
                  <a:ea typeface="+mn-ea"/>
                  <a:cs typeface="+mn-cs"/>
                </a:rPr>
                <a:t>Price:</a:t>
              </a:r>
              <a:r>
                <a:rPr lang="en-US" sz="1100">
                  <a:solidFill>
                    <a:srgbClr val="00B050"/>
                  </a:solidFill>
                  <a:effectLst/>
                  <a:latin typeface="+mn-lt"/>
                  <a:ea typeface="+mn-ea"/>
                  <a:cs typeface="+mn-cs"/>
                </a:rPr>
                <a:t> </a:t>
              </a:r>
              <a:r>
                <a:rPr lang="en-US" sz="1100">
                  <a:solidFill>
                    <a:schemeClr val="dk1"/>
                  </a:solidFill>
                  <a:effectLst/>
                  <a:latin typeface="+mn-lt"/>
                  <a:ea typeface="+mn-ea"/>
                  <a:cs typeface="+mn-cs"/>
                </a:rPr>
                <a:t>Low (</a:t>
              </a:r>
              <a:r>
                <a:rPr lang="en-US" sz="1100" i="0">
                  <a:solidFill>
                    <a:schemeClr val="dk1"/>
                  </a:solidFill>
                  <a:latin typeface="+mn-lt"/>
                  <a:ea typeface="+mn-ea"/>
                  <a:cs typeface="+mn-cs"/>
                </a:rPr>
                <a:t>≤</a:t>
              </a:r>
              <a:r>
                <a:rPr lang="en-US" sz="1100">
                  <a:solidFill>
                    <a:schemeClr val="dk1"/>
                  </a:solidFill>
                  <a:effectLst/>
                  <a:latin typeface="+mn-lt"/>
                  <a:ea typeface="+mn-ea"/>
                  <a:cs typeface="+mn-cs"/>
                </a:rPr>
                <a:t> KSh 493.00), Medium (KSh 493.01 – KSh 1,669.50), High (</a:t>
              </a:r>
              <a:r>
                <a:rPr lang="en-US" sz="1100" i="0">
                  <a:solidFill>
                    <a:schemeClr val="dk1"/>
                  </a:solidFill>
                  <a:latin typeface="+mn-lt"/>
                  <a:ea typeface="+mn-ea"/>
                  <a:cs typeface="+mn-cs"/>
                </a:rPr>
                <a:t>&gt;</a:t>
              </a:r>
              <a:r>
                <a:rPr lang="en-US" sz="1100">
                  <a:solidFill>
                    <a:schemeClr val="dk1"/>
                  </a:solidFill>
                  <a:effectLst/>
                  <a:latin typeface="+mn-lt"/>
                  <a:ea typeface="+mn-ea"/>
                  <a:cs typeface="+mn-cs"/>
                </a:rPr>
                <a:t> KSh 1,669.50) based on catalog Quartiles (</a:t>
              </a:r>
              <a:r>
                <a:rPr lang="en-US" sz="1100" i="0">
                  <a:solidFill>
                    <a:schemeClr val="dk1"/>
                  </a:solidFill>
                  <a:latin typeface="+mn-lt"/>
                  <a:ea typeface="+mn-ea"/>
                  <a:cs typeface="+mn-cs"/>
                </a:rPr>
                <a:t>𝑄_1</a:t>
              </a:r>
              <a:r>
                <a:rPr lang="en-US" sz="1100">
                  <a:solidFill>
                    <a:schemeClr val="dk1"/>
                  </a:solidFill>
                  <a:effectLst/>
                  <a:latin typeface="+mn-lt"/>
                  <a:ea typeface="+mn-ea"/>
                  <a:cs typeface="+mn-cs"/>
                </a:rPr>
                <a:t>, </a:t>
              </a:r>
              <a:r>
                <a:rPr lang="en-US" sz="1100" i="0">
                  <a:solidFill>
                    <a:schemeClr val="dk1"/>
                  </a:solidFill>
                  <a:latin typeface="+mn-lt"/>
                  <a:ea typeface="+mn-ea"/>
                  <a:cs typeface="+mn-cs"/>
                </a:rPr>
                <a:t>𝑄_3</a:t>
              </a:r>
              <a:r>
                <a:rPr lang="en-US" sz="1100">
                  <a:solidFill>
                    <a:schemeClr val="dk1"/>
                  </a:solidFill>
                  <a:effectLst/>
                  <a:latin typeface="+mn-lt"/>
                  <a:ea typeface="+mn-ea"/>
                  <a:cs typeface="+mn-cs"/>
                </a:rPr>
                <a:t>).</a:t>
              </a:r>
            </a:p>
            <a:p>
              <a:pPr lvl="1"/>
              <a:r>
                <a:rPr lang="en-US" sz="1100" b="1">
                  <a:solidFill>
                    <a:srgbClr val="00B050"/>
                  </a:solidFill>
                  <a:effectLst/>
                  <a:latin typeface="+mn-lt"/>
                  <a:ea typeface="+mn-ea"/>
                  <a:cs typeface="+mn-cs"/>
                </a:rPr>
                <a:t>Discount:</a:t>
              </a:r>
              <a:r>
                <a:rPr lang="en-US" sz="1100">
                  <a:solidFill>
                    <a:srgbClr val="00B050"/>
                  </a:solidFill>
                  <a:effectLst/>
                  <a:latin typeface="+mn-lt"/>
                  <a:ea typeface="+mn-ea"/>
                  <a:cs typeface="+mn-cs"/>
                </a:rPr>
                <a:t> </a:t>
              </a:r>
              <a:r>
                <a:rPr lang="en-US" sz="1100">
                  <a:solidFill>
                    <a:schemeClr val="dk1"/>
                  </a:solidFill>
                  <a:effectLst/>
                  <a:latin typeface="+mn-lt"/>
                  <a:ea typeface="+mn-ea"/>
                  <a:cs typeface="+mn-cs"/>
                </a:rPr>
                <a:t>Low (</a:t>
              </a:r>
              <a:r>
                <a:rPr lang="en-US" sz="1100" i="0">
                  <a:solidFill>
                    <a:schemeClr val="dk1"/>
                  </a:solidFill>
                  <a:latin typeface="+mn-lt"/>
                  <a:ea typeface="+mn-ea"/>
                  <a:cs typeface="+mn-cs"/>
                </a:rPr>
                <a:t>&lt;</a:t>
              </a:r>
              <a:r>
                <a:rPr lang="en-US" sz="1100">
                  <a:solidFill>
                    <a:schemeClr val="dk1"/>
                  </a:solidFill>
                  <a:effectLst/>
                  <a:latin typeface="+mn-lt"/>
                  <a:ea typeface="+mn-ea"/>
                  <a:cs typeface="+mn-cs"/>
                </a:rPr>
                <a:t> 20%), Medium (20% – 40%), High (</a:t>
              </a:r>
              <a:r>
                <a:rPr lang="en-US" sz="1100" i="0">
                  <a:solidFill>
                    <a:schemeClr val="dk1"/>
                  </a:solidFill>
                  <a:latin typeface="+mn-lt"/>
                  <a:ea typeface="+mn-ea"/>
                  <a:cs typeface="+mn-cs"/>
                </a:rPr>
                <a:t>&gt;</a:t>
              </a:r>
              <a:r>
                <a:rPr lang="en-US" sz="1100">
                  <a:solidFill>
                    <a:schemeClr val="dk1"/>
                  </a:solidFill>
                  <a:effectLst/>
                  <a:latin typeface="+mn-lt"/>
                  <a:ea typeface="+mn-ea"/>
                  <a:cs typeface="+mn-cs"/>
                </a:rPr>
                <a:t> 40%).</a:t>
              </a:r>
            </a:p>
            <a:p>
              <a:pPr lvl="1"/>
              <a:r>
                <a:rPr lang="en-US" sz="1100" b="1">
                  <a:solidFill>
                    <a:srgbClr val="00B050"/>
                  </a:solidFill>
                  <a:effectLst/>
                  <a:latin typeface="+mn-lt"/>
                  <a:ea typeface="+mn-ea"/>
                  <a:cs typeface="+mn-cs"/>
                </a:rPr>
                <a:t>Rating:</a:t>
              </a:r>
              <a:r>
                <a:rPr lang="en-US" sz="1100">
                  <a:solidFill>
                    <a:srgbClr val="00B050"/>
                  </a:solidFill>
                  <a:effectLst/>
                  <a:latin typeface="+mn-lt"/>
                  <a:ea typeface="+mn-ea"/>
                  <a:cs typeface="+mn-cs"/>
                </a:rPr>
                <a:t> </a:t>
              </a:r>
              <a:r>
                <a:rPr lang="en-US" sz="1100">
                  <a:solidFill>
                    <a:schemeClr val="dk1"/>
                  </a:solidFill>
                  <a:effectLst/>
                  <a:latin typeface="+mn-lt"/>
                  <a:ea typeface="+mn-ea"/>
                  <a:cs typeface="+mn-cs"/>
                </a:rPr>
                <a:t>Poor (</a:t>
              </a:r>
              <a:r>
                <a:rPr lang="en-US" sz="1100" i="0">
                  <a:solidFill>
                    <a:schemeClr val="dk1"/>
                  </a:solidFill>
                  <a:latin typeface="+mn-lt"/>
                  <a:ea typeface="+mn-ea"/>
                  <a:cs typeface="+mn-cs"/>
                </a:rPr>
                <a:t>&lt;</a:t>
              </a:r>
              <a:r>
                <a:rPr lang="en-US" sz="1100">
                  <a:solidFill>
                    <a:schemeClr val="dk1"/>
                  </a:solidFill>
                  <a:effectLst/>
                  <a:latin typeface="+mn-lt"/>
                  <a:ea typeface="+mn-ea"/>
                  <a:cs typeface="+mn-cs"/>
                </a:rPr>
                <a:t> 3.0), Average (3.0 – 4.5), Excellent (</a:t>
              </a:r>
              <a:r>
                <a:rPr lang="en-US" sz="1100" i="0">
                  <a:solidFill>
                    <a:schemeClr val="dk1"/>
                  </a:solidFill>
                  <a:latin typeface="+mn-lt"/>
                  <a:ea typeface="+mn-ea"/>
                  <a:cs typeface="+mn-cs"/>
                </a:rPr>
                <a:t>&gt;</a:t>
              </a:r>
              <a:r>
                <a:rPr lang="en-US" sz="1100">
                  <a:solidFill>
                    <a:schemeClr val="dk1"/>
                  </a:solidFill>
                  <a:effectLst/>
                  <a:latin typeface="+mn-lt"/>
                  <a:ea typeface="+mn-ea"/>
                  <a:cs typeface="+mn-cs"/>
                </a:rPr>
                <a:t> 4.5).</a:t>
              </a:r>
            </a:p>
            <a:p>
              <a:pPr lvl="1"/>
              <a:endParaRPr lang="en-US" sz="1100">
                <a:solidFill>
                  <a:schemeClr val="dk1"/>
                </a:solidFill>
                <a:effectLst/>
                <a:latin typeface="+mn-lt"/>
                <a:ea typeface="+mn-ea"/>
                <a:cs typeface="+mn-cs"/>
              </a:endParaRPr>
            </a:p>
            <a:p>
              <a:pPr lvl="0"/>
              <a:r>
                <a:rPr lang="en-US" sz="1100" b="1">
                  <a:solidFill>
                    <a:schemeClr val="accent2">
                      <a:lumMod val="75000"/>
                    </a:schemeClr>
                  </a:solidFill>
                  <a:effectLst/>
                  <a:latin typeface="+mn-lt"/>
                  <a:ea typeface="+mn-ea"/>
                  <a:cs typeface="+mn-cs"/>
                </a:rPr>
                <a:t>Missing Values:</a:t>
              </a:r>
              <a:r>
                <a:rPr lang="en-US" sz="1100">
                  <a:solidFill>
                    <a:schemeClr val="accent2">
                      <a:lumMod val="75000"/>
                    </a:schemeClr>
                  </a:solidFill>
                  <a:effectLst/>
                  <a:latin typeface="+mn-lt"/>
                  <a:ea typeface="+mn-ea"/>
                  <a:cs typeface="+mn-cs"/>
                </a:rPr>
                <a:t> </a:t>
              </a:r>
              <a:r>
                <a:rPr lang="en-US" sz="1100">
                  <a:solidFill>
                    <a:schemeClr val="dk1"/>
                  </a:solidFill>
                  <a:effectLst/>
                  <a:latin typeface="+mn-lt"/>
                  <a:ea typeface="+mn-ea"/>
                  <a:cs typeface="+mn-cs"/>
                </a:rPr>
                <a:t>Blank ratings and reviews are treated as </a:t>
              </a:r>
              <a:r>
                <a:rPr lang="en-US" sz="1100" b="1">
                  <a:solidFill>
                    <a:schemeClr val="dk1"/>
                  </a:solidFill>
                  <a:effectLst/>
                  <a:latin typeface="+mn-lt"/>
                  <a:ea typeface="+mn-ea"/>
                  <a:cs typeface="+mn-cs"/>
                </a:rPr>
                <a:t>uncaptured data </a:t>
              </a:r>
              <a:r>
                <a:rPr lang="en-US" sz="1100">
                  <a:solidFill>
                    <a:schemeClr val="dk1"/>
                  </a:solidFill>
                  <a:effectLst/>
                  <a:latin typeface="+mn-lt"/>
                  <a:ea typeface="+mn-ea"/>
                  <a:cs typeface="+mn-cs"/>
                </a:rPr>
                <a:t>rather than zeros and are </a:t>
              </a:r>
              <a:r>
                <a:rPr lang="en-US" sz="1100" b="1">
                  <a:solidFill>
                    <a:schemeClr val="dk1"/>
                  </a:solidFill>
                  <a:effectLst/>
                  <a:latin typeface="+mn-lt"/>
                  <a:ea typeface="+mn-ea"/>
                  <a:cs typeface="+mn-cs"/>
                </a:rPr>
                <a:t>excluded</a:t>
              </a:r>
              <a:r>
                <a:rPr lang="en-US" sz="1100">
                  <a:solidFill>
                    <a:schemeClr val="dk1"/>
                  </a:solidFill>
                  <a:effectLst/>
                  <a:latin typeface="+mn-lt"/>
                  <a:ea typeface="+mn-ea"/>
                  <a:cs typeface="+mn-cs"/>
                </a:rPr>
                <a:t> from pairwise calculations to prevent metric skew.</a:t>
              </a:r>
            </a:p>
            <a:p>
              <a:pPr lvl="0"/>
              <a:endParaRPr lang="en-US" sz="1100">
                <a:solidFill>
                  <a:schemeClr val="dk1"/>
                </a:solidFill>
                <a:effectLst/>
                <a:latin typeface="+mn-lt"/>
                <a:ea typeface="+mn-ea"/>
                <a:cs typeface="+mn-cs"/>
              </a:endParaRPr>
            </a:p>
            <a:p>
              <a:pPr lvl="0"/>
              <a:r>
                <a:rPr lang="en-US" sz="1100" b="1">
                  <a:solidFill>
                    <a:schemeClr val="accent2">
                      <a:lumMod val="75000"/>
                    </a:schemeClr>
                  </a:solidFill>
                  <a:effectLst/>
                  <a:latin typeface="+mn-lt"/>
                  <a:ea typeface="+mn-ea"/>
                  <a:cs typeface="+mn-cs"/>
                </a:rPr>
                <a:t>Engagement Proxy:</a:t>
              </a:r>
              <a:r>
                <a:rPr lang="en-US" sz="1100">
                  <a:solidFill>
                    <a:schemeClr val="accent2">
                      <a:lumMod val="75000"/>
                    </a:schemeClr>
                  </a:solidFill>
                  <a:effectLst/>
                  <a:latin typeface="+mn-lt"/>
                  <a:ea typeface="+mn-ea"/>
                  <a:cs typeface="+mn-cs"/>
                </a:rPr>
                <a:t> </a:t>
              </a:r>
              <a:r>
                <a:rPr lang="en-US" sz="1100">
                  <a:solidFill>
                    <a:schemeClr val="dk1"/>
                  </a:solidFill>
                  <a:effectLst/>
                  <a:latin typeface="+mn-lt"/>
                  <a:ea typeface="+mn-ea"/>
                  <a:cs typeface="+mn-cs"/>
                </a:rPr>
                <a:t>Review counts serve as a customer engagement proxy because units sold and total revenue are omitted from the source data. Review volume </a:t>
              </a:r>
              <a:r>
                <a:rPr lang="en-US" sz="1100" b="1">
                  <a:solidFill>
                    <a:schemeClr val="dk1"/>
                  </a:solidFill>
                  <a:effectLst/>
                  <a:latin typeface="+mn-lt"/>
                  <a:ea typeface="+mn-ea"/>
                  <a:cs typeface="+mn-cs"/>
                </a:rPr>
                <a:t>does not prove </a:t>
              </a:r>
              <a:r>
                <a:rPr lang="en-US" sz="1100">
                  <a:solidFill>
                    <a:schemeClr val="dk1"/>
                  </a:solidFill>
                  <a:effectLst/>
                  <a:latin typeface="+mn-lt"/>
                  <a:ea typeface="+mn-ea"/>
                  <a:cs typeface="+mn-cs"/>
                </a:rPr>
                <a:t>causation or direct sales volume.</a:t>
              </a:r>
            </a:p>
          </xdr:txBody>
        </xdr:sp>
      </mc:Fallback>
    </mc:AlternateContent>
    <xdr:clientData/>
  </xdr:twoCellAnchor>
  <xdr:twoCellAnchor>
    <xdr:from>
      <xdr:col>0</xdr:col>
      <xdr:colOff>171451</xdr:colOff>
      <xdr:row>58</xdr:row>
      <xdr:rowOff>66674</xdr:rowOff>
    </xdr:from>
    <xdr:to>
      <xdr:col>21</xdr:col>
      <xdr:colOff>533401</xdr:colOff>
      <xdr:row>65</xdr:row>
      <xdr:rowOff>0</xdr:rowOff>
    </xdr:to>
    <mc:AlternateContent xmlns:mc="http://schemas.openxmlformats.org/markup-compatibility/2006">
      <mc:Choice xmlns:a14="http://schemas.microsoft.com/office/drawing/2010/main" Requires="a14">
        <xdr:sp macro="" textlink="">
          <xdr:nvSpPr>
            <xdr:cNvPr id="18" name="TextBox 17">
              <a:extLst>
                <a:ext uri="{FF2B5EF4-FFF2-40B4-BE49-F238E27FC236}">
                  <a16:creationId xmlns:a16="http://schemas.microsoft.com/office/drawing/2014/main" id="{375C9290-220D-49DE-1B21-9B837CF551C7}"/>
                </a:ext>
              </a:extLst>
            </xdr:cNvPr>
            <xdr:cNvSpPr txBox="1"/>
          </xdr:nvSpPr>
          <xdr:spPr>
            <a:xfrm>
              <a:off x="171451" y="11115674"/>
              <a:ext cx="13220700" cy="1266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75000"/>
                    </a:schemeClr>
                  </a:solidFill>
                </a:rPr>
                <a:t>Recommendations:</a:t>
              </a:r>
            </a:p>
            <a:p>
              <a:r>
                <a:rPr lang="en-US" sz="1100" b="1">
                  <a:solidFill>
                    <a:sysClr val="windowText" lastClr="000000"/>
                  </a:solidFill>
                </a:rPr>
                <a:t>1. </a:t>
              </a:r>
              <a:r>
                <a:rPr lang="en-US"/>
                <a:t>Sellers should test moderate discount bands (20%–30%) rather than aggressive price cuts to optimize margin retention while maintaining customer engagement.</a:t>
              </a:r>
              <a:endParaRPr lang="en-US" sz="1100" b="1">
                <a:solidFill>
                  <a:sysClr val="windowText" lastClr="000000"/>
                </a:solidFill>
              </a:endParaRPr>
            </a:p>
            <a:p>
              <a:r>
                <a:rPr lang="en-US" sz="1100" b="1">
                  <a:solidFill>
                    <a:sysClr val="windowText" lastClr="000000"/>
                  </a:solidFill>
                </a:rPr>
                <a:t>2. </a:t>
              </a:r>
              <a:r>
                <a:rPr lang="en-US"/>
                <a:t>Jumia category managers should audit heavily discounted, low-rated listings for quality defects or inaccurate descriptions, restricting promotional features for items rated below 3.0.</a:t>
              </a:r>
            </a:p>
            <a:p>
              <a:r>
                <a:rPr lang="en-US" sz="1100" b="1">
                  <a:solidFill>
                    <a:sysClr val="windowText" lastClr="000000"/>
                  </a:solidFill>
                </a:rPr>
                <a:t>3.</a:t>
              </a:r>
              <a:r>
                <a:rPr lang="en-US" sz="1100" b="1" baseline="0">
                  <a:solidFill>
                    <a:sysClr val="windowText" lastClr="000000"/>
                  </a:solidFill>
                </a:rPr>
                <a:t> </a:t>
              </a:r>
              <a:r>
                <a:rPr lang="en-US" sz="1100" b="1">
                  <a:solidFill>
                    <a:schemeClr val="dk1"/>
                  </a:solidFill>
                  <a:effectLst/>
                  <a:latin typeface="+mn-lt"/>
                  <a:ea typeface="+mn-ea"/>
                  <a:cs typeface="+mn-cs"/>
                </a:rPr>
                <a:t>6 products</a:t>
              </a:r>
              <a:r>
                <a:rPr lang="en-US"/>
                <a:t> meet the dual criteria of </a:t>
              </a:r>
              <a:r>
                <a:rPr lang="en-US" sz="1100" b="1">
                  <a:solidFill>
                    <a:schemeClr val="dk1"/>
                  </a:solidFill>
                  <a:effectLst/>
                  <a:latin typeface="+mn-lt"/>
                  <a:ea typeface="+mn-ea"/>
                  <a:cs typeface="+mn-cs"/>
                </a:rPr>
                <a:t>Strong Engagement</a:t>
              </a:r>
              <a:r>
                <a:rPr lang="en-US"/>
                <a:t> (</a:t>
              </a:r>
              <a14:m>
                <m:oMath xmlns:m="http://schemas.openxmlformats.org/officeDocument/2006/math">
                  <m:r>
                    <a:rPr lang="en-US" sz="1100">
                      <a:solidFill>
                        <a:schemeClr val="dk1"/>
                      </a:solidFill>
                      <a:latin typeface="+mn-lt"/>
                      <a:ea typeface="+mn-ea"/>
                      <a:cs typeface="+mn-cs"/>
                    </a:rPr>
                    <m:t>≥</m:t>
                  </m:r>
                </m:oMath>
              </a14:m>
              <a:r>
                <a:rPr lang="en-US"/>
                <a:t> 14 reviews, the 75th percentile) and </a:t>
              </a:r>
              <a:r>
                <a:rPr lang="en-US" sz="1100" b="1">
                  <a:solidFill>
                    <a:schemeClr val="dk1"/>
                  </a:solidFill>
                  <a:effectLst/>
                  <a:latin typeface="+mn-lt"/>
                  <a:ea typeface="+mn-ea"/>
                  <a:cs typeface="+mn-cs"/>
                </a:rPr>
                <a:t>Excellent Rating</a:t>
              </a:r>
              <a:r>
                <a:rPr lang="en-US"/>
                <a:t> (&gt;4.5 out of 5.0), averaging 15.21 reviews per product across the top rating tier</a:t>
              </a:r>
              <a:r>
                <a:rPr lang="en-US" baseline="0"/>
                <a:t> and therefore, s</a:t>
              </a:r>
              <a:r>
                <a:rPr lang="en-US"/>
                <a:t>ellers should allocate ad spend to promote these 6 star listings via sponsored search and featured banner placements to maximize visibility and cross-selling.</a:t>
              </a:r>
            </a:p>
            <a:p>
              <a:r>
                <a:rPr lang="en-US" sz="1100" b="1">
                  <a:solidFill>
                    <a:sysClr val="windowText" lastClr="000000"/>
                  </a:solidFill>
                </a:rPr>
                <a:t>4. </a:t>
              </a:r>
              <a:r>
                <a:rPr lang="en-US" sz="1100" b="1">
                  <a:solidFill>
                    <a:schemeClr val="dk1"/>
                  </a:solidFill>
                  <a:effectLst/>
                  <a:latin typeface="+mn-lt"/>
                  <a:ea typeface="+mn-ea"/>
                  <a:cs typeface="+mn-cs"/>
                </a:rPr>
                <a:t>6 products</a:t>
              </a:r>
              <a:r>
                <a:rPr lang="en-US"/>
                <a:t> generate high engagement (</a:t>
              </a:r>
              <a14:m>
                <m:oMath xmlns:m="http://schemas.openxmlformats.org/officeDocument/2006/math">
                  <m:r>
                    <a:rPr lang="en-US" sz="1100">
                      <a:solidFill>
                        <a:schemeClr val="dk1"/>
                      </a:solidFill>
                      <a:latin typeface="+mn-lt"/>
                      <a:ea typeface="+mn-ea"/>
                      <a:cs typeface="+mn-cs"/>
                    </a:rPr>
                    <m:t>≥</m:t>
                  </m:r>
                </m:oMath>
              </a14:m>
              <a:r>
                <a:rPr lang="en-US"/>
                <a:t> 14 reviews) but remain in the </a:t>
              </a:r>
              <a:r>
                <a:rPr lang="en-US" sz="1100" b="1">
                  <a:solidFill>
                    <a:schemeClr val="dk1"/>
                  </a:solidFill>
                  <a:effectLst/>
                  <a:latin typeface="+mn-lt"/>
                  <a:ea typeface="+mn-ea"/>
                  <a:cs typeface="+mn-cs"/>
                </a:rPr>
                <a:t>Average Rating</a:t>
              </a:r>
              <a:r>
                <a:rPr lang="en-US"/>
                <a:t> category (3.0–4.5 out of 5.0), averaging 10.19 reviews overall for the group and therefore</a:t>
              </a:r>
              <a:r>
                <a:rPr lang="en-US" baseline="0"/>
                <a:t> s</a:t>
              </a:r>
              <a:r>
                <a:rPr lang="en-US"/>
                <a:t>ellers should analyze specific customer feedback on these 6 listings to resolve recurring product flaws or refine listing details and expectations.</a:t>
              </a:r>
              <a:endParaRPr lang="en-US" sz="1100" b="1">
                <a:solidFill>
                  <a:sysClr val="windowText" lastClr="000000"/>
                </a:solidFill>
              </a:endParaRPr>
            </a:p>
          </xdr:txBody>
        </xdr:sp>
      </mc:Choice>
      <mc:Fallback>
        <xdr:sp macro="" textlink="">
          <xdr:nvSpPr>
            <xdr:cNvPr id="18" name="TextBox 17">
              <a:extLst>
                <a:ext uri="{FF2B5EF4-FFF2-40B4-BE49-F238E27FC236}">
                  <a16:creationId xmlns:a16="http://schemas.microsoft.com/office/drawing/2014/main" id="{375C9290-220D-49DE-1B21-9B837CF551C7}"/>
                </a:ext>
              </a:extLst>
            </xdr:cNvPr>
            <xdr:cNvSpPr txBox="1"/>
          </xdr:nvSpPr>
          <xdr:spPr>
            <a:xfrm>
              <a:off x="171451" y="11115674"/>
              <a:ext cx="13220700" cy="12668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accent2">
                      <a:lumMod val="75000"/>
                    </a:schemeClr>
                  </a:solidFill>
                </a:rPr>
                <a:t>Recommendations:</a:t>
              </a:r>
            </a:p>
            <a:p>
              <a:r>
                <a:rPr lang="en-US" sz="1100" b="1">
                  <a:solidFill>
                    <a:sysClr val="windowText" lastClr="000000"/>
                  </a:solidFill>
                </a:rPr>
                <a:t>1. </a:t>
              </a:r>
              <a:r>
                <a:rPr lang="en-US"/>
                <a:t>Sellers should test moderate discount bands (20%–30%) rather than aggressive price cuts to optimize margin retention while maintaining customer engagement.</a:t>
              </a:r>
              <a:endParaRPr lang="en-US" sz="1100" b="1">
                <a:solidFill>
                  <a:sysClr val="windowText" lastClr="000000"/>
                </a:solidFill>
              </a:endParaRPr>
            </a:p>
            <a:p>
              <a:r>
                <a:rPr lang="en-US" sz="1100" b="1">
                  <a:solidFill>
                    <a:sysClr val="windowText" lastClr="000000"/>
                  </a:solidFill>
                </a:rPr>
                <a:t>2. </a:t>
              </a:r>
              <a:r>
                <a:rPr lang="en-US"/>
                <a:t>Jumia category managers should audit heavily discounted, low-rated listings for quality defects or inaccurate descriptions, restricting promotional features for items rated below 3.0.</a:t>
              </a:r>
            </a:p>
            <a:p>
              <a:r>
                <a:rPr lang="en-US" sz="1100" b="1">
                  <a:solidFill>
                    <a:sysClr val="windowText" lastClr="000000"/>
                  </a:solidFill>
                </a:rPr>
                <a:t>3.</a:t>
              </a:r>
              <a:r>
                <a:rPr lang="en-US" sz="1100" b="1" baseline="0">
                  <a:solidFill>
                    <a:sysClr val="windowText" lastClr="000000"/>
                  </a:solidFill>
                </a:rPr>
                <a:t> </a:t>
              </a:r>
              <a:r>
                <a:rPr lang="en-US" sz="1100" b="1">
                  <a:solidFill>
                    <a:schemeClr val="dk1"/>
                  </a:solidFill>
                  <a:effectLst/>
                  <a:latin typeface="+mn-lt"/>
                  <a:ea typeface="+mn-ea"/>
                  <a:cs typeface="+mn-cs"/>
                </a:rPr>
                <a:t>6 products</a:t>
              </a:r>
              <a:r>
                <a:rPr lang="en-US"/>
                <a:t> meet the dual criteria of </a:t>
              </a:r>
              <a:r>
                <a:rPr lang="en-US" sz="1100" b="1">
                  <a:solidFill>
                    <a:schemeClr val="dk1"/>
                  </a:solidFill>
                  <a:effectLst/>
                  <a:latin typeface="+mn-lt"/>
                  <a:ea typeface="+mn-ea"/>
                  <a:cs typeface="+mn-cs"/>
                </a:rPr>
                <a:t>Strong Engagement</a:t>
              </a:r>
              <a:r>
                <a:rPr lang="en-US"/>
                <a:t> (</a:t>
              </a:r>
              <a:r>
                <a:rPr lang="en-US" sz="1100" i="0">
                  <a:solidFill>
                    <a:schemeClr val="dk1"/>
                  </a:solidFill>
                  <a:latin typeface="+mn-lt"/>
                  <a:ea typeface="+mn-ea"/>
                  <a:cs typeface="+mn-cs"/>
                </a:rPr>
                <a:t>≥</a:t>
              </a:r>
              <a:r>
                <a:rPr lang="en-US"/>
                <a:t> 14 reviews, the 75th percentile) and </a:t>
              </a:r>
              <a:r>
                <a:rPr lang="en-US" sz="1100" b="1">
                  <a:solidFill>
                    <a:schemeClr val="dk1"/>
                  </a:solidFill>
                  <a:effectLst/>
                  <a:latin typeface="+mn-lt"/>
                  <a:ea typeface="+mn-ea"/>
                  <a:cs typeface="+mn-cs"/>
                </a:rPr>
                <a:t>Excellent Rating</a:t>
              </a:r>
              <a:r>
                <a:rPr lang="en-US"/>
                <a:t> (&gt;4.5 out of 5.0), averaging 15.21 reviews per product across the top rating tier</a:t>
              </a:r>
              <a:r>
                <a:rPr lang="en-US" baseline="0"/>
                <a:t> and therefore, s</a:t>
              </a:r>
              <a:r>
                <a:rPr lang="en-US"/>
                <a:t>ellers should allocate ad spend to promote these 6 star listings via sponsored search and featured banner placements to maximize visibility and cross-selling.</a:t>
              </a:r>
            </a:p>
            <a:p>
              <a:r>
                <a:rPr lang="en-US" sz="1100" b="1">
                  <a:solidFill>
                    <a:sysClr val="windowText" lastClr="000000"/>
                  </a:solidFill>
                </a:rPr>
                <a:t>4. </a:t>
              </a:r>
              <a:r>
                <a:rPr lang="en-US" sz="1100" b="1">
                  <a:solidFill>
                    <a:schemeClr val="dk1"/>
                  </a:solidFill>
                  <a:effectLst/>
                  <a:latin typeface="+mn-lt"/>
                  <a:ea typeface="+mn-ea"/>
                  <a:cs typeface="+mn-cs"/>
                </a:rPr>
                <a:t>6 products</a:t>
              </a:r>
              <a:r>
                <a:rPr lang="en-US"/>
                <a:t> generate high engagement (</a:t>
              </a:r>
              <a:r>
                <a:rPr lang="en-US" sz="1100" i="0">
                  <a:solidFill>
                    <a:schemeClr val="dk1"/>
                  </a:solidFill>
                  <a:latin typeface="+mn-lt"/>
                  <a:ea typeface="+mn-ea"/>
                  <a:cs typeface="+mn-cs"/>
                </a:rPr>
                <a:t>≥</a:t>
              </a:r>
              <a:r>
                <a:rPr lang="en-US"/>
                <a:t> 14 reviews) but remain in the </a:t>
              </a:r>
              <a:r>
                <a:rPr lang="en-US" sz="1100" b="1">
                  <a:solidFill>
                    <a:schemeClr val="dk1"/>
                  </a:solidFill>
                  <a:effectLst/>
                  <a:latin typeface="+mn-lt"/>
                  <a:ea typeface="+mn-ea"/>
                  <a:cs typeface="+mn-cs"/>
                </a:rPr>
                <a:t>Average Rating</a:t>
              </a:r>
              <a:r>
                <a:rPr lang="en-US"/>
                <a:t> category (3.0–4.5 out of 5.0), averaging 10.19 reviews overall for the group and therefore</a:t>
              </a:r>
              <a:r>
                <a:rPr lang="en-US" baseline="0"/>
                <a:t> s</a:t>
              </a:r>
              <a:r>
                <a:rPr lang="en-US"/>
                <a:t>ellers should analyze specific customer feedback on these 6 listings to resolve recurring product flaws or refine listing details and expectations.</a:t>
              </a:r>
              <a:endParaRPr lang="en-US" sz="1100" b="1">
                <a:solidFill>
                  <a:sysClr val="windowText" lastClr="000000"/>
                </a:solidFill>
              </a:endParaRP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onard Mwilu" refreshedDate="46270.681518634257" createdVersion="8" refreshedVersion="8" minRefreshableVersion="3" recordCount="116" xr:uid="{1466B9D7-BB34-40E9-ACB3-292DDE32C3D7}">
  <cacheSource type="worksheet">
    <worksheetSource ref="A1:K1048576" sheet="tblProducts"/>
  </cacheSource>
  <cacheFields count="11">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0">
      <sharedItems containsString="0" containsBlank="1" containsNumber="1" containsInteger="1" minValue="38" maxValue="3750"/>
    </cacheField>
    <cacheField name="Price Category" numFmtId="0">
      <sharedItems containsBlank="1" count="4">
        <s v="Medium Price"/>
        <s v="High Price"/>
        <s v="Low Price"/>
        <m/>
      </sharedItems>
    </cacheField>
    <cacheField name="Old Price" numFmtId="0">
      <sharedItems containsString="0" containsBlank="1" containsNumber="1" containsInteger="1" minValue="80" maxValue="6143"/>
    </cacheField>
    <cacheField name="Discount" numFmtId="0">
      <sharedItems containsString="0" containsBlank="1" containsNumber="1" minValue="0.01" maxValue="0.64"/>
    </cacheField>
    <cacheField name="Discount Category" numFmtId="0">
      <sharedItems containsBlank="1" count="4">
        <s v="Medium Discount"/>
        <s v="High Discount"/>
        <s v="Low Discount"/>
        <m/>
      </sharedItems>
    </cacheField>
    <cacheField name="Discount Amount" numFmtId="0">
      <sharedItems containsString="0" containsBlank="1" containsNumber="1" containsInteger="1" minValue="24" maxValue="2585"/>
    </cacheField>
    <cacheField name="Review" numFmtId="0">
      <sharedItems containsBlank="1" containsMixedTypes="1" containsNumber="1" containsInteger="1" minValue="1" maxValue="69"/>
    </cacheField>
    <cacheField name="Rating" numFmtId="0">
      <sharedItems containsBlank="1" containsMixedTypes="1" containsNumber="1" minValue="2" maxValue="5"/>
    </cacheField>
    <cacheField name="Rating Category" numFmtId="0">
      <sharedItems containsBlank="1" count="5">
        <s v="Average"/>
        <s v="Excellent"/>
        <s v="Missing"/>
        <s v="Poor"/>
        <m/>
      </sharedItems>
    </cacheField>
    <cacheField name="Validation Check" numFmtId="0">
      <sharedItems containsBlank="1"/>
    </cacheField>
  </cacheFields>
  <extLst>
    <ext xmlns:x14="http://schemas.microsoft.com/office/spreadsheetml/2009/9/main" uri="{725AE2AE-9491-48be-B2B4-4EB974FC3084}">
      <x14:pivotCacheDefinition pivotCacheId="21217601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
  <r>
    <x v="0"/>
    <n v="950"/>
    <x v="0"/>
    <n v="1525"/>
    <n v="0.38"/>
    <x v="0"/>
    <n v="575"/>
    <n v="2"/>
    <n v="4.5"/>
    <x v="0"/>
    <s v="OK"/>
  </r>
  <r>
    <x v="1"/>
    <n v="527"/>
    <x v="0"/>
    <n v="999"/>
    <n v="0.47"/>
    <x v="1"/>
    <n v="472"/>
    <n v="14"/>
    <n v="4.0999999999999996"/>
    <x v="0"/>
    <s v="OK"/>
  </r>
  <r>
    <x v="2"/>
    <n v="2199"/>
    <x v="1"/>
    <n v="2923"/>
    <n v="0.25"/>
    <x v="0"/>
    <n v="724"/>
    <n v="24"/>
    <n v="4.5999999999999996"/>
    <x v="1"/>
    <s v="OK"/>
  </r>
  <r>
    <x v="3"/>
    <n v="1580"/>
    <x v="0"/>
    <n v="2499"/>
    <n v="0.37"/>
    <x v="0"/>
    <n v="919"/>
    <n v="7"/>
    <n v="4.7"/>
    <x v="1"/>
    <s v="OK"/>
  </r>
  <r>
    <x v="4"/>
    <n v="1740"/>
    <x v="1"/>
    <n v="2356"/>
    <n v="0.26"/>
    <x v="0"/>
    <n v="616"/>
    <n v="5"/>
    <n v="4.8"/>
    <x v="1"/>
    <s v="OK"/>
  </r>
  <r>
    <x v="5"/>
    <n v="2999"/>
    <x v="1"/>
    <n v="3290"/>
    <n v="0.09"/>
    <x v="2"/>
    <n v="291"/>
    <n v="15"/>
    <n v="4"/>
    <x v="0"/>
    <s v="OK"/>
  </r>
  <r>
    <x v="6"/>
    <n v="2319"/>
    <x v="1"/>
    <n v="3032"/>
    <n v="0.24"/>
    <x v="0"/>
    <n v="713"/>
    <n v="55"/>
    <n v="4.5999999999999996"/>
    <x v="1"/>
    <s v="OK"/>
  </r>
  <r>
    <x v="7"/>
    <n v="988"/>
    <x v="0"/>
    <n v="1580"/>
    <n v="0.37"/>
    <x v="0"/>
    <n v="592"/>
    <n v="2"/>
    <n v="4"/>
    <x v="0"/>
    <s v="OK"/>
  </r>
  <r>
    <x v="8"/>
    <n v="1274"/>
    <x v="0"/>
    <n v="2800"/>
    <n v="0.55000000000000004"/>
    <x v="1"/>
    <n v="1526"/>
    <n v="5"/>
    <n v="4.8"/>
    <x v="1"/>
    <s v="OK"/>
  </r>
  <r>
    <x v="9"/>
    <n v="1600"/>
    <x v="0"/>
    <n v="2929"/>
    <n v="0.45"/>
    <x v="1"/>
    <n v="1329"/>
    <n v="5"/>
    <n v="3.8"/>
    <x v="0"/>
    <s v="OK"/>
  </r>
  <r>
    <x v="10"/>
    <n v="799"/>
    <x v="0"/>
    <n v="999"/>
    <n v="0.2"/>
    <x v="0"/>
    <n v="200"/>
    <n v="12"/>
    <n v="4.0999999999999996"/>
    <x v="0"/>
    <s v="OK"/>
  </r>
  <r>
    <x v="11"/>
    <n v="990"/>
    <x v="0"/>
    <n v="1500"/>
    <n v="0.34"/>
    <x v="0"/>
    <n v="510"/>
    <n v="39"/>
    <n v="4.7"/>
    <x v="1"/>
    <s v="OK"/>
  </r>
  <r>
    <x v="12"/>
    <n v="552"/>
    <x v="0"/>
    <n v="1035"/>
    <n v="0.47"/>
    <x v="1"/>
    <n v="483"/>
    <n v="12"/>
    <n v="4.8"/>
    <x v="1"/>
    <s v="OK"/>
  </r>
  <r>
    <x v="13"/>
    <n v="501"/>
    <x v="0"/>
    <n v="860"/>
    <n v="0.42"/>
    <x v="1"/>
    <n v="359"/>
    <n v="6"/>
    <n v="4.5"/>
    <x v="0"/>
    <s v="OK"/>
  </r>
  <r>
    <x v="14"/>
    <n v="1680"/>
    <x v="1"/>
    <n v="2499"/>
    <n v="0.33"/>
    <x v="0"/>
    <n v="819"/>
    <n v="9"/>
    <n v="4.2"/>
    <x v="0"/>
    <s v="OK"/>
  </r>
  <r>
    <x v="15"/>
    <n v="332"/>
    <x v="2"/>
    <n v="684"/>
    <n v="0.51"/>
    <x v="1"/>
    <n v="352"/>
    <n v="2"/>
    <n v="5"/>
    <x v="1"/>
    <s v="OK"/>
  </r>
  <r>
    <x v="16"/>
    <n v="195"/>
    <x v="2"/>
    <n v="360"/>
    <n v="0.46"/>
    <x v="1"/>
    <n v="165"/>
    <n v="2"/>
    <n v="5"/>
    <x v="1"/>
    <s v="OK"/>
  </r>
  <r>
    <x v="17"/>
    <n v="2025"/>
    <x v="1"/>
    <n v="3971"/>
    <n v="0.49"/>
    <x v="1"/>
    <n v="1946"/>
    <n v="3"/>
    <n v="5"/>
    <x v="1"/>
    <s v="OK"/>
  </r>
  <r>
    <x v="18"/>
    <n v="2999"/>
    <x v="1"/>
    <n v="3699"/>
    <n v="0.19"/>
    <x v="2"/>
    <n v="700"/>
    <n v="5"/>
    <n v="4.5999999999999996"/>
    <x v="1"/>
    <s v="OK"/>
  </r>
  <r>
    <x v="19"/>
    <n v="998"/>
    <x v="0"/>
    <n v="1966"/>
    <n v="0.49"/>
    <x v="1"/>
    <n v="968"/>
    <n v="44"/>
    <n v="4.5999999999999996"/>
    <x v="1"/>
    <s v="OK"/>
  </r>
  <r>
    <x v="20"/>
    <n v="38"/>
    <x v="2"/>
    <n v="80"/>
    <n v="0.53"/>
    <x v="1"/>
    <n v="42"/>
    <n v="13"/>
    <n v="3.3"/>
    <x v="0"/>
    <s v="OK"/>
  </r>
  <r>
    <x v="21"/>
    <n v="1860"/>
    <x v="1"/>
    <n v="3220"/>
    <n v="0.42"/>
    <x v="1"/>
    <n v="1360"/>
    <s v=""/>
    <s v=""/>
    <x v="2"/>
    <s v="Check rating"/>
  </r>
  <r>
    <x v="22"/>
    <n v="880"/>
    <x v="0"/>
    <n v="1350"/>
    <n v="0.35"/>
    <x v="0"/>
    <n v="470"/>
    <n v="6"/>
    <n v="4"/>
    <x v="0"/>
    <s v="OK"/>
  </r>
  <r>
    <x v="23"/>
    <n v="1650"/>
    <x v="0"/>
    <n v="2150"/>
    <n v="0.23"/>
    <x v="0"/>
    <n v="500"/>
    <n v="14"/>
    <n v="4.4000000000000004"/>
    <x v="0"/>
    <s v="OK"/>
  </r>
  <r>
    <x v="24"/>
    <n v="2048"/>
    <x v="1"/>
    <n v="4500"/>
    <n v="0.54"/>
    <x v="1"/>
    <n v="2452"/>
    <n v="7"/>
    <n v="4.3"/>
    <x v="0"/>
    <s v="OK"/>
  </r>
  <r>
    <x v="25"/>
    <n v="420"/>
    <x v="2"/>
    <n v="647"/>
    <n v="0.35"/>
    <x v="0"/>
    <n v="227"/>
    <n v="49"/>
    <n v="4.5999999999999996"/>
    <x v="1"/>
    <s v="OK"/>
  </r>
  <r>
    <x v="26"/>
    <n v="2880"/>
    <x v="1"/>
    <n v="3520"/>
    <n v="0.18"/>
    <x v="2"/>
    <n v="640"/>
    <n v="12"/>
    <n v="3.8"/>
    <x v="0"/>
    <s v="OK"/>
  </r>
  <r>
    <x v="27"/>
    <n v="1350"/>
    <x v="0"/>
    <n v="1990"/>
    <n v="0.32"/>
    <x v="0"/>
    <n v="640"/>
    <n v="13"/>
    <n v="3.8"/>
    <x v="0"/>
    <s v="OK"/>
  </r>
  <r>
    <x v="28"/>
    <n v="1758"/>
    <x v="1"/>
    <n v="2499"/>
    <n v="0.3"/>
    <x v="0"/>
    <n v="741"/>
    <n v="20"/>
    <n v="4.0999999999999996"/>
    <x v="0"/>
    <s v="OK"/>
  </r>
  <r>
    <x v="29"/>
    <n v="2200"/>
    <x v="1"/>
    <n v="4080"/>
    <n v="0.46"/>
    <x v="1"/>
    <n v="1880"/>
    <s v=""/>
    <s v=""/>
    <x v="2"/>
    <s v="Check rating"/>
  </r>
  <r>
    <x v="30"/>
    <n v="185"/>
    <x v="2"/>
    <n v="382"/>
    <n v="0.52"/>
    <x v="1"/>
    <n v="197"/>
    <n v="9"/>
    <n v="4.3"/>
    <x v="0"/>
    <s v="OK"/>
  </r>
  <r>
    <x v="31"/>
    <n v="980"/>
    <x v="0"/>
    <n v="1490"/>
    <n v="0.34"/>
    <x v="0"/>
    <n v="510"/>
    <n v="12"/>
    <n v="4.7"/>
    <x v="1"/>
    <s v="OK"/>
  </r>
  <r>
    <x v="32"/>
    <n v="1820"/>
    <x v="1"/>
    <n v="3490"/>
    <n v="0.48"/>
    <x v="1"/>
    <n v="1670"/>
    <n v="9"/>
    <n v="4.3"/>
    <x v="0"/>
    <s v="OK"/>
  </r>
  <r>
    <x v="33"/>
    <n v="1940"/>
    <x v="1"/>
    <n v="2650"/>
    <n v="0.27"/>
    <x v="0"/>
    <n v="710"/>
    <n v="20"/>
    <n v="4.7"/>
    <x v="1"/>
    <s v="OK"/>
  </r>
  <r>
    <x v="34"/>
    <n v="1980"/>
    <x v="1"/>
    <n v="2699"/>
    <n v="0.27"/>
    <x v="0"/>
    <n v="719"/>
    <n v="32"/>
    <n v="4.5"/>
    <x v="0"/>
    <s v="OK"/>
  </r>
  <r>
    <x v="35"/>
    <n v="1620"/>
    <x v="0"/>
    <n v="2690"/>
    <n v="0.4"/>
    <x v="0"/>
    <n v="1070"/>
    <n v="1"/>
    <n v="5"/>
    <x v="1"/>
    <s v="OK"/>
  </r>
  <r>
    <x v="36"/>
    <n v="171"/>
    <x v="2"/>
    <n v="360"/>
    <n v="0.53"/>
    <x v="1"/>
    <n v="189"/>
    <n v="2"/>
    <n v="5"/>
    <x v="1"/>
    <s v="OK"/>
  </r>
  <r>
    <x v="37"/>
    <n v="389"/>
    <x v="2"/>
    <n v="656"/>
    <n v="0.41"/>
    <x v="1"/>
    <n v="267"/>
    <n v="36"/>
    <n v="4.3"/>
    <x v="0"/>
    <s v="OK"/>
  </r>
  <r>
    <x v="38"/>
    <n v="1800"/>
    <x v="1"/>
    <n v="2700"/>
    <n v="0.38"/>
    <x v="0"/>
    <n v="900"/>
    <n v="2"/>
    <n v="4.5"/>
    <x v="0"/>
    <s v="OK"/>
  </r>
  <r>
    <x v="39"/>
    <n v="2750"/>
    <x v="1"/>
    <n v="4471"/>
    <n v="0.38"/>
    <x v="0"/>
    <n v="1721"/>
    <s v=""/>
    <s v=""/>
    <x v="2"/>
    <s v="Check rating"/>
  </r>
  <r>
    <x v="40"/>
    <n v="475"/>
    <x v="2"/>
    <n v="931"/>
    <n v="0.49"/>
    <x v="1"/>
    <n v="456"/>
    <s v=""/>
    <s v=""/>
    <x v="2"/>
    <s v="Check rating"/>
  </r>
  <r>
    <x v="41"/>
    <n v="238"/>
    <x v="2"/>
    <n v="476"/>
    <n v="0.5"/>
    <x v="1"/>
    <n v="238"/>
    <s v=""/>
    <s v=""/>
    <x v="2"/>
    <s v="Check rating"/>
  </r>
  <r>
    <x v="42"/>
    <n v="610"/>
    <x v="0"/>
    <n v="1060"/>
    <n v="0.42"/>
    <x v="1"/>
    <n v="450"/>
    <s v=""/>
    <s v=""/>
    <x v="2"/>
    <s v="Check rating"/>
  </r>
  <r>
    <x v="43"/>
    <n v="2132"/>
    <x v="1"/>
    <n v="2169"/>
    <n v="0.02"/>
    <x v="2"/>
    <n v="37"/>
    <s v=""/>
    <s v=""/>
    <x v="2"/>
    <s v="Check rating"/>
  </r>
  <r>
    <x v="44"/>
    <n v="999"/>
    <x v="0"/>
    <n v="2000"/>
    <n v="0.5"/>
    <x v="1"/>
    <n v="1001"/>
    <s v=""/>
    <s v=""/>
    <x v="2"/>
    <s v="Check rating"/>
  </r>
  <r>
    <x v="45"/>
    <n v="1190"/>
    <x v="0"/>
    <n v="1785"/>
    <n v="0.33"/>
    <x v="0"/>
    <n v="595"/>
    <s v=""/>
    <s v=""/>
    <x v="2"/>
    <s v="Check rating"/>
  </r>
  <r>
    <x v="46"/>
    <n v="671"/>
    <x v="0"/>
    <n v="1316"/>
    <n v="0.49"/>
    <x v="1"/>
    <n v="645"/>
    <s v=""/>
    <s v=""/>
    <x v="2"/>
    <s v="Check rating"/>
  </r>
  <r>
    <x v="47"/>
    <n v="1200"/>
    <x v="0"/>
    <n v="1950"/>
    <n v="0.38"/>
    <x v="0"/>
    <n v="750"/>
    <s v=""/>
    <s v=""/>
    <x v="2"/>
    <s v="Check rating"/>
  </r>
  <r>
    <x v="48"/>
    <n v="199"/>
    <x v="2"/>
    <n v="504"/>
    <n v="0.61"/>
    <x v="1"/>
    <n v="305"/>
    <s v=""/>
    <s v=""/>
    <x v="2"/>
    <s v="Check rating"/>
  </r>
  <r>
    <x v="49"/>
    <n v="299"/>
    <x v="2"/>
    <n v="600"/>
    <n v="0.5"/>
    <x v="1"/>
    <n v="301"/>
    <s v=""/>
    <s v=""/>
    <x v="2"/>
    <s v="Check rating"/>
  </r>
  <r>
    <x v="50"/>
    <n v="1660"/>
    <x v="0"/>
    <n v="1699"/>
    <n v="0.02"/>
    <x v="2"/>
    <n v="39"/>
    <s v=""/>
    <s v=""/>
    <x v="2"/>
    <s v="Check rating"/>
  </r>
  <r>
    <x v="51"/>
    <n v="299"/>
    <x v="2"/>
    <n v="384"/>
    <n v="0.22"/>
    <x v="0"/>
    <n v="85"/>
    <s v=""/>
    <s v=""/>
    <x v="2"/>
    <s v="Check rating"/>
  </r>
  <r>
    <x v="52"/>
    <n v="1459"/>
    <x v="0"/>
    <n v="1499"/>
    <n v="0.03"/>
    <x v="2"/>
    <n v="40"/>
    <s v=""/>
    <s v=""/>
    <x v="2"/>
    <s v="Check rating"/>
  </r>
  <r>
    <x v="53"/>
    <n v="799"/>
    <x v="0"/>
    <n v="1343"/>
    <n v="0.41"/>
    <x v="1"/>
    <n v="544"/>
    <s v=""/>
    <s v=""/>
    <x v="2"/>
    <s v="Check rating"/>
  </r>
  <r>
    <x v="54"/>
    <n v="499"/>
    <x v="0"/>
    <n v="900"/>
    <n v="0.45"/>
    <x v="1"/>
    <n v="401"/>
    <s v=""/>
    <s v=""/>
    <x v="2"/>
    <s v="Check rating"/>
  </r>
  <r>
    <x v="55"/>
    <n v="699"/>
    <x v="0"/>
    <n v="1343"/>
    <n v="0.48"/>
    <x v="1"/>
    <n v="644"/>
    <s v=""/>
    <s v=""/>
    <x v="2"/>
    <s v="Check rating"/>
  </r>
  <r>
    <x v="56"/>
    <n v="799"/>
    <x v="0"/>
    <n v="1567"/>
    <n v="0.49"/>
    <x v="1"/>
    <n v="768"/>
    <s v=""/>
    <s v=""/>
    <x v="2"/>
    <s v="Check rating"/>
  </r>
  <r>
    <x v="57"/>
    <n v="2799"/>
    <x v="1"/>
    <n v="3810"/>
    <n v="0.27"/>
    <x v="0"/>
    <n v="1011"/>
    <s v=""/>
    <s v=""/>
    <x v="2"/>
    <s v="Check rating"/>
  </r>
  <r>
    <x v="54"/>
    <n v="399"/>
    <x v="2"/>
    <n v="896"/>
    <n v="0.55000000000000004"/>
    <x v="1"/>
    <n v="497"/>
    <s v=""/>
    <s v=""/>
    <x v="2"/>
    <s v="Check rating"/>
  </r>
  <r>
    <x v="58"/>
    <n v="2170"/>
    <x v="1"/>
    <n v="2500"/>
    <n v="0.13"/>
    <x v="2"/>
    <n v="330"/>
    <n v="6"/>
    <n v="2.5"/>
    <x v="3"/>
    <s v="OK"/>
  </r>
  <r>
    <x v="59"/>
    <n v="458"/>
    <x v="2"/>
    <n v="986"/>
    <n v="0.54"/>
    <x v="1"/>
    <n v="528"/>
    <n v="10"/>
    <n v="3"/>
    <x v="0"/>
    <s v="OK"/>
  </r>
  <r>
    <x v="60"/>
    <n v="2115"/>
    <x v="1"/>
    <n v="4700"/>
    <n v="0.55000000000000004"/>
    <x v="1"/>
    <n v="2585"/>
    <n v="13"/>
    <n v="2.1"/>
    <x v="3"/>
    <s v="OK"/>
  </r>
  <r>
    <x v="61"/>
    <n v="445"/>
    <x v="2"/>
    <n v="873"/>
    <n v="0.49"/>
    <x v="1"/>
    <n v="428"/>
    <n v="69"/>
    <n v="2.8"/>
    <x v="3"/>
    <s v="OK"/>
  </r>
  <r>
    <x v="62"/>
    <n v="325"/>
    <x v="2"/>
    <n v="680"/>
    <n v="0.52"/>
    <x v="1"/>
    <n v="355"/>
    <n v="15"/>
    <n v="2.7"/>
    <x v="3"/>
    <s v="OK"/>
  </r>
  <r>
    <x v="63"/>
    <n v="1220"/>
    <x v="0"/>
    <n v="1555"/>
    <n v="0.22"/>
    <x v="0"/>
    <n v="335"/>
    <n v="16"/>
    <n v="2.9"/>
    <x v="3"/>
    <s v="OK"/>
  </r>
  <r>
    <x v="64"/>
    <n v="990"/>
    <x v="0"/>
    <n v="1814"/>
    <n v="0.45"/>
    <x v="1"/>
    <n v="824"/>
    <n v="6"/>
    <n v="2.2000000000000002"/>
    <x v="3"/>
    <s v="OK"/>
  </r>
  <r>
    <x v="65"/>
    <n v="1000"/>
    <x v="0"/>
    <n v="2000"/>
    <n v="0.5"/>
    <x v="1"/>
    <n v="1000"/>
    <n v="7"/>
    <n v="2.2999999999999998"/>
    <x v="3"/>
    <s v="OK"/>
  </r>
  <r>
    <x v="66"/>
    <n v="3750"/>
    <x v="1"/>
    <n v="6143"/>
    <n v="0.39"/>
    <x v="0"/>
    <n v="2393"/>
    <n v="5"/>
    <n v="3"/>
    <x v="0"/>
    <s v="OK"/>
  </r>
  <r>
    <x v="67"/>
    <n v="382"/>
    <x v="2"/>
    <n v="700"/>
    <n v="0.45"/>
    <x v="1"/>
    <n v="318"/>
    <n v="17"/>
    <n v="2.6"/>
    <x v="3"/>
    <s v="OK"/>
  </r>
  <r>
    <x v="68"/>
    <n v="2300"/>
    <x v="1"/>
    <n v="3240"/>
    <n v="0.28999999999999998"/>
    <x v="0"/>
    <n v="940"/>
    <n v="5"/>
    <n v="3"/>
    <x v="0"/>
    <s v="OK"/>
  </r>
  <r>
    <x v="69"/>
    <n v="345"/>
    <x v="2"/>
    <n v="602"/>
    <n v="0.43"/>
    <x v="1"/>
    <n v="257"/>
    <n v="6"/>
    <n v="2.2999999999999998"/>
    <x v="3"/>
    <s v="OK"/>
  </r>
  <r>
    <x v="70"/>
    <n v="509"/>
    <x v="0"/>
    <n v="899"/>
    <n v="0.43"/>
    <x v="1"/>
    <n v="390"/>
    <n v="5"/>
    <n v="3"/>
    <x v="0"/>
    <s v="OK"/>
  </r>
  <r>
    <x v="71"/>
    <n v="968"/>
    <x v="0"/>
    <n v="1814"/>
    <n v="0.47"/>
    <x v="1"/>
    <n v="846"/>
    <n v="6"/>
    <n v="2.2000000000000002"/>
    <x v="3"/>
    <s v="OK"/>
  </r>
  <r>
    <x v="72"/>
    <n v="1570"/>
    <x v="0"/>
    <n v="2988"/>
    <n v="0.47"/>
    <x v="1"/>
    <n v="1418"/>
    <n v="7"/>
    <n v="2.1"/>
    <x v="3"/>
    <s v="OK"/>
  </r>
  <r>
    <x v="73"/>
    <n v="790"/>
    <x v="0"/>
    <n v="1485"/>
    <n v="0.47"/>
    <x v="1"/>
    <n v="695"/>
    <s v=""/>
    <s v=""/>
    <x v="2"/>
    <s v="Check rating"/>
  </r>
  <r>
    <x v="74"/>
    <n v="690"/>
    <x v="0"/>
    <n v="1200"/>
    <n v="0.43"/>
    <x v="1"/>
    <n v="510"/>
    <s v=""/>
    <s v=""/>
    <x v="2"/>
    <s v="Check rating"/>
  </r>
  <r>
    <x v="75"/>
    <n v="1732"/>
    <x v="1"/>
    <n v="1799"/>
    <n v="0.04"/>
    <x v="2"/>
    <n v="67"/>
    <s v=""/>
    <s v=""/>
    <x v="2"/>
    <s v="Check rating"/>
  </r>
  <r>
    <x v="76"/>
    <n v="230"/>
    <x v="2"/>
    <n v="450"/>
    <n v="0.49"/>
    <x v="1"/>
    <n v="220"/>
    <s v=""/>
    <s v=""/>
    <x v="2"/>
    <s v="Check rating"/>
  </r>
  <r>
    <x v="77"/>
    <n v="1189"/>
    <x v="0"/>
    <n v="2199"/>
    <n v="0.46"/>
    <x v="1"/>
    <n v="1010"/>
    <n v="1"/>
    <n v="3"/>
    <x v="0"/>
    <s v="OK"/>
  </r>
  <r>
    <x v="78"/>
    <n v="979"/>
    <x v="0"/>
    <n v="1920"/>
    <n v="0.49"/>
    <x v="1"/>
    <n v="941"/>
    <n v="1"/>
    <n v="5"/>
    <x v="1"/>
    <s v="OK"/>
  </r>
  <r>
    <x v="79"/>
    <n v="1460"/>
    <x v="0"/>
    <n v="2290"/>
    <n v="0.36"/>
    <x v="0"/>
    <n v="830"/>
    <s v=""/>
    <s v=""/>
    <x v="2"/>
    <s v="Check rating"/>
  </r>
  <r>
    <x v="80"/>
    <n v="1666"/>
    <x v="0"/>
    <n v="1699"/>
    <n v="0.02"/>
    <x v="2"/>
    <n v="33"/>
    <s v=""/>
    <s v=""/>
    <x v="2"/>
    <s v="Check rating"/>
  </r>
  <r>
    <x v="81"/>
    <n v="330"/>
    <x v="2"/>
    <n v="647"/>
    <n v="0.49"/>
    <x v="1"/>
    <n v="317"/>
    <n v="1"/>
    <n v="4"/>
    <x v="0"/>
    <s v="OK"/>
  </r>
  <r>
    <x v="48"/>
    <n v="176"/>
    <x v="2"/>
    <n v="345"/>
    <n v="0.49"/>
    <x v="1"/>
    <n v="169"/>
    <s v=""/>
    <s v=""/>
    <x v="2"/>
    <s v="Check rating"/>
  </r>
  <r>
    <x v="82"/>
    <n v="1466"/>
    <x v="0"/>
    <n v="1699"/>
    <n v="0.14000000000000001"/>
    <x v="2"/>
    <n v="233"/>
    <s v=""/>
    <s v=""/>
    <x v="2"/>
    <s v="Check rating"/>
  </r>
  <r>
    <x v="83"/>
    <n v="274"/>
    <x v="2"/>
    <n v="537"/>
    <n v="0.49"/>
    <x v="1"/>
    <n v="263"/>
    <s v=""/>
    <s v=""/>
    <x v="2"/>
    <s v="Check rating"/>
  </r>
  <r>
    <x v="84"/>
    <n v="799"/>
    <x v="0"/>
    <n v="900"/>
    <n v="0.11"/>
    <x v="2"/>
    <n v="101"/>
    <s v=""/>
    <s v=""/>
    <x v="2"/>
    <s v="Check rating"/>
  </r>
  <r>
    <x v="56"/>
    <n v="657"/>
    <x v="0"/>
    <n v="1288"/>
    <n v="0.49"/>
    <x v="1"/>
    <n v="631"/>
    <s v=""/>
    <s v=""/>
    <x v="2"/>
    <s v="Check rating"/>
  </r>
  <r>
    <x v="85"/>
    <n v="1468"/>
    <x v="0"/>
    <n v="1699"/>
    <n v="0.14000000000000001"/>
    <x v="2"/>
    <n v="231"/>
    <s v=""/>
    <s v=""/>
    <x v="2"/>
    <s v="Check rating"/>
  </r>
  <r>
    <x v="86"/>
    <n v="630"/>
    <x v="0"/>
    <n v="1100"/>
    <n v="0.43"/>
    <x v="1"/>
    <n v="470"/>
    <s v=""/>
    <s v=""/>
    <x v="2"/>
    <s v="Check rating"/>
  </r>
  <r>
    <x v="87"/>
    <n v="850"/>
    <x v="0"/>
    <n v="1700"/>
    <n v="0.5"/>
    <x v="1"/>
    <n v="850"/>
    <s v=""/>
    <s v=""/>
    <x v="2"/>
    <s v="Check rating"/>
  </r>
  <r>
    <x v="88"/>
    <n v="1300"/>
    <x v="0"/>
    <n v="2500"/>
    <n v="0.48"/>
    <x v="1"/>
    <n v="1200"/>
    <s v=""/>
    <s v=""/>
    <x v="2"/>
    <s v="Check rating"/>
  </r>
  <r>
    <x v="89"/>
    <n v="105"/>
    <x v="2"/>
    <n v="200"/>
    <n v="0.48"/>
    <x v="1"/>
    <n v="95"/>
    <s v=""/>
    <s v=""/>
    <x v="2"/>
    <s v="Check rating"/>
  </r>
  <r>
    <x v="90"/>
    <n v="899"/>
    <x v="0"/>
    <n v="1699"/>
    <n v="0.47"/>
    <x v="1"/>
    <n v="800"/>
    <s v=""/>
    <s v=""/>
    <x v="2"/>
    <s v="Check rating"/>
  </r>
  <r>
    <x v="91"/>
    <n v="1200"/>
    <x v="0"/>
    <n v="2400"/>
    <n v="0.5"/>
    <x v="1"/>
    <n v="1200"/>
    <s v=""/>
    <s v=""/>
    <x v="2"/>
    <s v="Check rating"/>
  </r>
  <r>
    <x v="92"/>
    <n v="1526"/>
    <x v="0"/>
    <n v="1660"/>
    <n v="0.08"/>
    <x v="2"/>
    <n v="134"/>
    <s v=""/>
    <s v=""/>
    <x v="2"/>
    <s v="Check rating"/>
  </r>
  <r>
    <x v="93"/>
    <n v="1462"/>
    <x v="0"/>
    <n v="1499"/>
    <n v="0.02"/>
    <x v="2"/>
    <n v="37"/>
    <s v=""/>
    <s v=""/>
    <x v="2"/>
    <s v="Check rating"/>
  </r>
  <r>
    <x v="94"/>
    <n v="248"/>
    <x v="2"/>
    <n v="486"/>
    <n v="0.49"/>
    <x v="1"/>
    <n v="238"/>
    <s v=""/>
    <s v=""/>
    <x v="2"/>
    <s v="Check rating"/>
  </r>
  <r>
    <x v="95"/>
    <n v="3546"/>
    <x v="1"/>
    <n v="3699"/>
    <n v="0.04"/>
    <x v="2"/>
    <n v="153"/>
    <s v=""/>
    <s v=""/>
    <x v="2"/>
    <s v="Check rating"/>
  </r>
  <r>
    <x v="96"/>
    <n v="525"/>
    <x v="0"/>
    <n v="1029"/>
    <n v="0.49"/>
    <x v="1"/>
    <n v="504"/>
    <s v=""/>
    <s v=""/>
    <x v="2"/>
    <s v="Check rating"/>
  </r>
  <r>
    <x v="97"/>
    <n v="1080"/>
    <x v="0"/>
    <n v="1874"/>
    <n v="0.42"/>
    <x v="1"/>
    <n v="794"/>
    <s v=""/>
    <s v=""/>
    <x v="2"/>
    <s v="Check rating"/>
  </r>
  <r>
    <x v="98"/>
    <n v="3640"/>
    <x v="1"/>
    <n v="4588"/>
    <n v="0.21"/>
    <x v="0"/>
    <n v="948"/>
    <n v="1"/>
    <n v="5"/>
    <x v="1"/>
    <s v="OK"/>
  </r>
  <r>
    <x v="99"/>
    <n v="1420"/>
    <x v="0"/>
    <n v="2420"/>
    <n v="0.41"/>
    <x v="1"/>
    <n v="1000"/>
    <s v=""/>
    <s v=""/>
    <x v="2"/>
    <s v="Check rating"/>
  </r>
  <r>
    <x v="100"/>
    <n v="1875"/>
    <x v="1"/>
    <n v="1899"/>
    <n v="0.01"/>
    <x v="2"/>
    <n v="24"/>
    <s v=""/>
    <s v=""/>
    <x v="2"/>
    <s v="Check rating"/>
  </r>
  <r>
    <x v="101"/>
    <n v="198"/>
    <x v="2"/>
    <n v="260"/>
    <n v="0.24"/>
    <x v="0"/>
    <n v="62"/>
    <s v=""/>
    <s v=""/>
    <x v="2"/>
    <s v="Check rating"/>
  </r>
  <r>
    <x v="102"/>
    <n v="1150"/>
    <x v="0"/>
    <n v="1737"/>
    <n v="0.34"/>
    <x v="0"/>
    <n v="587"/>
    <s v=""/>
    <s v=""/>
    <x v="2"/>
    <s v="Check rating"/>
  </r>
  <r>
    <x v="103"/>
    <n v="1190"/>
    <x v="0"/>
    <n v="1810"/>
    <n v="0.34"/>
    <x v="0"/>
    <n v="620"/>
    <s v=""/>
    <s v=""/>
    <x v="2"/>
    <s v="Check rating"/>
  </r>
  <r>
    <x v="104"/>
    <n v="1658"/>
    <x v="0"/>
    <n v="1699"/>
    <n v="0.02"/>
    <x v="2"/>
    <n v="41"/>
    <s v=""/>
    <s v=""/>
    <x v="2"/>
    <s v="Check rating"/>
  </r>
  <r>
    <x v="105"/>
    <n v="1768"/>
    <x v="1"/>
    <n v="1799"/>
    <n v="0.02"/>
    <x v="2"/>
    <n v="31"/>
    <s v=""/>
    <s v=""/>
    <x v="2"/>
    <s v="Check rating"/>
  </r>
  <r>
    <x v="106"/>
    <n v="199"/>
    <x v="2"/>
    <n v="553"/>
    <n v="0.64"/>
    <x v="1"/>
    <n v="354"/>
    <s v=""/>
    <s v=""/>
    <x v="2"/>
    <s v="Check rating"/>
  </r>
  <r>
    <x v="107"/>
    <n v="450"/>
    <x v="2"/>
    <n v="900"/>
    <n v="0.5"/>
    <x v="1"/>
    <n v="450"/>
    <n v="1"/>
    <n v="2"/>
    <x v="3"/>
    <s v="OK"/>
  </r>
  <r>
    <x v="108"/>
    <n v="169"/>
    <x v="2"/>
    <n v="320"/>
    <n v="0.47"/>
    <x v="1"/>
    <n v="151"/>
    <s v=""/>
    <s v=""/>
    <x v="2"/>
    <s v="Check rating"/>
  </r>
  <r>
    <x v="109"/>
    <m/>
    <x v="3"/>
    <m/>
    <m/>
    <x v="3"/>
    <m/>
    <m/>
    <m/>
    <x v="4"/>
    <m/>
  </r>
  <r>
    <x v="109"/>
    <m/>
    <x v="3"/>
    <m/>
    <m/>
    <x v="3"/>
    <m/>
    <m/>
    <m/>
    <x v="4"/>
    <m/>
  </r>
  <r>
    <x v="109"/>
    <m/>
    <x v="3"/>
    <m/>
    <m/>
    <x v="3"/>
    <m/>
    <m/>
    <m/>
    <x v="4"/>
    <m/>
  </r>
  <r>
    <x v="109"/>
    <m/>
    <x v="3"/>
    <m/>
    <m/>
    <x v="3"/>
    <m/>
    <m/>
    <m/>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8E651F-80AF-41D4-AB75-806004DA5CEB}"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Discount Category">
  <location ref="H9:I14" firstHeaderRow="1" firstDataRow="1" firstDataCol="1"/>
  <pivotFields count="11">
    <pivotField dataField="1" showAll="0"/>
    <pivotField showAll="0"/>
    <pivotField showAll="0">
      <items count="5">
        <item x="1"/>
        <item x="2"/>
        <item x="0"/>
        <item x="3"/>
        <item t="default"/>
      </items>
    </pivotField>
    <pivotField showAll="0"/>
    <pivotField showAll="0"/>
    <pivotField axis="axisRow" showAll="0">
      <items count="5">
        <item x="1"/>
        <item x="2"/>
        <item x="0"/>
        <item x="3"/>
        <item t="default"/>
      </items>
    </pivotField>
    <pivotField showAll="0"/>
    <pivotField showAll="0"/>
    <pivotField showAll="0"/>
    <pivotField showAll="0">
      <items count="6">
        <item x="0"/>
        <item x="1"/>
        <item x="2"/>
        <item x="3"/>
        <item x="4"/>
        <item t="default"/>
      </items>
    </pivotField>
    <pivotField showAll="0"/>
  </pivotFields>
  <rowFields count="1">
    <field x="5"/>
  </rowFields>
  <rowItems count="5">
    <i>
      <x/>
    </i>
    <i>
      <x v="1"/>
    </i>
    <i>
      <x v="2"/>
    </i>
    <i>
      <x v="3"/>
    </i>
    <i t="grand">
      <x/>
    </i>
  </rowItems>
  <colItems count="1">
    <i/>
  </colItems>
  <dataFields count="1">
    <dataField name="Count of Product" fld="0" subtotal="count" baseField="0" baseItem="0"/>
  </dataFields>
  <chartFormats count="2">
    <chartFormat chart="4"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D814747-E4B0-4919-992E-7D925D9C5678}"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Price Category">
  <location ref="N17:O22" firstHeaderRow="1" firstDataRow="1" firstDataCol="1"/>
  <pivotFields count="11">
    <pivotField showAll="0"/>
    <pivotField showAll="0"/>
    <pivotField axis="axisRow" showAll="0">
      <items count="5">
        <item x="1"/>
        <item x="2"/>
        <item x="0"/>
        <item x="3"/>
        <item t="default"/>
      </items>
    </pivotField>
    <pivotField showAll="0"/>
    <pivotField showAll="0"/>
    <pivotField showAll="0">
      <items count="5">
        <item x="1"/>
        <item x="2"/>
        <item x="0"/>
        <item x="3"/>
        <item t="default"/>
      </items>
    </pivotField>
    <pivotField showAll="0"/>
    <pivotField showAll="0"/>
    <pivotField dataField="1" showAll="0"/>
    <pivotField showAll="0">
      <items count="6">
        <item x="0"/>
        <item x="1"/>
        <item x="2"/>
        <item x="3"/>
        <item x="4"/>
        <item t="default"/>
      </items>
    </pivotField>
    <pivotField showAll="0"/>
  </pivotFields>
  <rowFields count="1">
    <field x="2"/>
  </rowFields>
  <rowItems count="5">
    <i>
      <x/>
    </i>
    <i>
      <x v="1"/>
    </i>
    <i>
      <x v="2"/>
    </i>
    <i>
      <x v="3"/>
    </i>
    <i t="grand">
      <x/>
    </i>
  </rowItems>
  <colItems count="1">
    <i/>
  </colItems>
  <dataFields count="1">
    <dataField name="Average of Rating" fld="8" subtotal="average" baseField="2"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5AFC2D-3DD9-48DF-9CF9-84E60998D7D5}" name="PivotTable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H39:I50" firstHeaderRow="1" firstDataRow="1" firstDataCol="1"/>
  <pivotFields count="11">
    <pivotField axis="axisRow" showAll="0" measureFilter="1">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items count="5">
        <item x="1"/>
        <item x="2"/>
        <item x="0"/>
        <item x="3"/>
        <item t="default"/>
      </items>
    </pivotField>
    <pivotField showAll="0"/>
    <pivotField dataField="1" showAll="0"/>
    <pivotField showAll="0">
      <items count="5">
        <item x="1"/>
        <item x="2"/>
        <item x="0"/>
        <item x="3"/>
        <item t="default"/>
      </items>
    </pivotField>
    <pivotField showAll="0"/>
    <pivotField showAll="0"/>
    <pivotField showAll="0"/>
    <pivotField showAll="0">
      <items count="6">
        <item x="0"/>
        <item x="1"/>
        <item x="2"/>
        <item x="3"/>
        <item x="4"/>
        <item t="default"/>
      </items>
    </pivotField>
    <pivotField showAll="0"/>
  </pivotFields>
  <rowFields count="1">
    <field x="0"/>
  </rowFields>
  <rowItems count="11">
    <i>
      <x v="20"/>
    </i>
    <i>
      <x v="30"/>
    </i>
    <i>
      <x v="31"/>
    </i>
    <i>
      <x v="52"/>
    </i>
    <i>
      <x v="53"/>
    </i>
    <i>
      <x v="60"/>
    </i>
    <i>
      <x v="64"/>
    </i>
    <i>
      <x v="67"/>
    </i>
    <i>
      <x v="70"/>
    </i>
    <i>
      <x v="84"/>
    </i>
    <i t="grand">
      <x/>
    </i>
  </rowItems>
  <colItems count="1">
    <i/>
  </colItems>
  <dataFields count="1">
    <dataField name="Average of Discount" fld="4" subtotal="average" baseField="0" baseItem="20"/>
  </dataFields>
  <chartFormats count="2">
    <chartFormat chart="4"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8AB098-29DD-4655-B728-427DDEBF137A}" name="Pivo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N31:O42" firstHeaderRow="1" firstDataRow="1" firstDataCol="1"/>
  <pivotFields count="11">
    <pivotField axis="axisRow" showAll="0" measureFilter="1">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items count="5">
        <item x="1"/>
        <item x="2"/>
        <item x="0"/>
        <item x="3"/>
        <item t="default"/>
      </items>
    </pivotField>
    <pivotField showAll="0"/>
    <pivotField showAll="0"/>
    <pivotField showAll="0">
      <items count="5">
        <item x="1"/>
        <item x="2"/>
        <item x="0"/>
        <item x="3"/>
        <item t="default"/>
      </items>
    </pivotField>
    <pivotField showAll="0"/>
    <pivotField dataField="1" showAll="0"/>
    <pivotField showAll="0"/>
    <pivotField showAll="0">
      <items count="6">
        <item x="0"/>
        <item x="1"/>
        <item x="2"/>
        <item x="3"/>
        <item x="4"/>
        <item t="default"/>
      </items>
    </pivotField>
    <pivotField showAll="0"/>
  </pivotFields>
  <rowFields count="1">
    <field x="0"/>
  </rowFields>
  <rowItems count="11">
    <i>
      <x v="1"/>
    </i>
    <i>
      <x v="5"/>
    </i>
    <i>
      <x v="8"/>
    </i>
    <i>
      <x v="18"/>
    </i>
    <i>
      <x v="26"/>
    </i>
    <i>
      <x v="27"/>
    </i>
    <i>
      <x v="28"/>
    </i>
    <i>
      <x v="59"/>
    </i>
    <i>
      <x v="91"/>
    </i>
    <i>
      <x v="95"/>
    </i>
    <i t="grand">
      <x/>
    </i>
  </rowItems>
  <colItems count="1">
    <i/>
  </colItems>
  <dataFields count="1">
    <dataField name="Sum of Review" fld="7" baseField="0" baseItem="0"/>
  </dataFields>
  <chartFormats count="2">
    <chartFormat chart="6"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8C9D3C-7CA6-4B6E-BB95-D5DCFB819D2D}"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iscount Category">
  <location ref="B31:C36" firstHeaderRow="1" firstDataRow="1" firstDataCol="1"/>
  <pivotFields count="11">
    <pivotField showAll="0"/>
    <pivotField showAll="0"/>
    <pivotField showAll="0">
      <items count="5">
        <item x="1"/>
        <item x="2"/>
        <item x="0"/>
        <item x="3"/>
        <item t="default"/>
      </items>
    </pivotField>
    <pivotField showAll="0"/>
    <pivotField showAll="0"/>
    <pivotField axis="axisRow" showAll="0">
      <items count="5">
        <item x="1"/>
        <item x="2"/>
        <item x="0"/>
        <item x="3"/>
        <item t="default"/>
      </items>
    </pivotField>
    <pivotField showAll="0"/>
    <pivotField dataField="1" showAll="0"/>
    <pivotField showAll="0"/>
    <pivotField showAll="0">
      <items count="6">
        <item x="0"/>
        <item x="1"/>
        <item x="2"/>
        <item x="3"/>
        <item x="4"/>
        <item t="default"/>
      </items>
    </pivotField>
    <pivotField showAll="0"/>
  </pivotFields>
  <rowFields count="1">
    <field x="5"/>
  </rowFields>
  <rowItems count="5">
    <i>
      <x/>
    </i>
    <i>
      <x v="1"/>
    </i>
    <i>
      <x v="2"/>
    </i>
    <i>
      <x v="3"/>
    </i>
    <i t="grand">
      <x/>
    </i>
  </rowItems>
  <colItems count="1">
    <i/>
  </colItems>
  <dataFields count="1">
    <dataField name="Sum of Review" fld="7" baseField="5"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BFF488-C5C0-4AEA-B4B2-6425AFA851F4}" name="PivotTable7" cacheId="1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9">
  <location ref="H23:I34" firstHeaderRow="1" firstDataRow="1" firstDataCol="1"/>
  <pivotFields count="11">
    <pivotField axis="axisRow" showAll="0" measureFilter="1">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pivotField>
    <pivotField showAll="0"/>
    <pivotField showAll="0">
      <items count="5">
        <item x="1"/>
        <item x="2"/>
        <item x="0"/>
        <item x="3"/>
        <item t="default"/>
      </items>
    </pivotField>
    <pivotField showAll="0"/>
    <pivotField showAll="0"/>
    <pivotField showAll="0">
      <items count="5">
        <item x="1"/>
        <item x="2"/>
        <item x="0"/>
        <item x="3"/>
        <item t="default"/>
      </items>
    </pivotField>
    <pivotField showAll="0"/>
    <pivotField showAll="0"/>
    <pivotField dataField="1" showAll="0"/>
    <pivotField showAll="0">
      <items count="6">
        <item x="0"/>
        <item x="1"/>
        <item x="2"/>
        <item x="3"/>
        <item x="4"/>
        <item t="default"/>
      </items>
    </pivotField>
    <pivotField showAll="0"/>
  </pivotFields>
  <rowFields count="1">
    <field x="0"/>
  </rowFields>
  <rowItems count="11">
    <i>
      <x v="22"/>
    </i>
    <i>
      <x v="40"/>
    </i>
    <i>
      <x v="44"/>
    </i>
    <i>
      <x v="52"/>
    </i>
    <i>
      <x v="57"/>
    </i>
    <i>
      <x v="65"/>
    </i>
    <i>
      <x v="68"/>
    </i>
    <i>
      <x v="70"/>
    </i>
    <i>
      <x v="87"/>
    </i>
    <i>
      <x v="90"/>
    </i>
    <i t="grand">
      <x/>
    </i>
  </rowItems>
  <colItems count="1">
    <i/>
  </colItems>
  <dataFields count="1">
    <dataField name="Average of Rating" fld="8" subtotal="average" baseField="0" baseItem="0"/>
  </dataFields>
  <chartFormats count="2">
    <chartFormat chart="2"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83AD76A-DCA1-4F17-A0BF-6FEA8A6255D3}"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Rating Category">
  <location ref="B17:C23" firstHeaderRow="1" firstDataRow="1" firstDataCol="1"/>
  <pivotFields count="11">
    <pivotField dataField="1" showAll="0"/>
    <pivotField showAll="0"/>
    <pivotField showAll="0">
      <items count="5">
        <item x="1"/>
        <item x="2"/>
        <item x="0"/>
        <item x="3"/>
        <item t="default"/>
      </items>
    </pivotField>
    <pivotField showAll="0"/>
    <pivotField showAll="0"/>
    <pivotField showAll="0">
      <items count="5">
        <item x="1"/>
        <item x="2"/>
        <item x="0"/>
        <item x="3"/>
        <item t="default"/>
      </items>
    </pivotField>
    <pivotField showAll="0"/>
    <pivotField showAll="0"/>
    <pivotField showAll="0"/>
    <pivotField axis="axisRow" showAll="0">
      <items count="6">
        <item x="0"/>
        <item x="1"/>
        <item x="2"/>
        <item x="3"/>
        <item x="4"/>
        <item t="default"/>
      </items>
    </pivotField>
    <pivotField showAll="0"/>
  </pivotFields>
  <rowFields count="1">
    <field x="9"/>
  </rowFields>
  <rowItems count="6">
    <i>
      <x/>
    </i>
    <i>
      <x v="1"/>
    </i>
    <i>
      <x v="2"/>
    </i>
    <i>
      <x v="3"/>
    </i>
    <i>
      <x v="4"/>
    </i>
    <i t="grand">
      <x/>
    </i>
  </rowItems>
  <colItems count="1">
    <i/>
  </colItems>
  <dataFields count="1">
    <dataField name="Count of Product" fld="0" subtotal="count" baseField="0" baseItem="0"/>
  </dataFields>
  <chartFormats count="13">
    <chartFormat chart="7"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9" count="1" selected="0">
            <x v="0"/>
          </reference>
        </references>
      </pivotArea>
    </chartFormat>
    <chartFormat chart="11" format="2">
      <pivotArea type="data" outline="0" fieldPosition="0">
        <references count="2">
          <reference field="4294967294" count="1" selected="0">
            <x v="0"/>
          </reference>
          <reference field="9" count="1" selected="0">
            <x v="1"/>
          </reference>
        </references>
      </pivotArea>
    </chartFormat>
    <chartFormat chart="11" format="3">
      <pivotArea type="data" outline="0" fieldPosition="0">
        <references count="2">
          <reference field="4294967294" count="1" selected="0">
            <x v="0"/>
          </reference>
          <reference field="9" count="1" selected="0">
            <x v="2"/>
          </reference>
        </references>
      </pivotArea>
    </chartFormat>
    <chartFormat chart="11" format="4">
      <pivotArea type="data" outline="0" fieldPosition="0">
        <references count="2">
          <reference field="4294967294" count="1" selected="0">
            <x v="0"/>
          </reference>
          <reference field="9" count="1" selected="0">
            <x v="3"/>
          </reference>
        </references>
      </pivotArea>
    </chartFormat>
    <chartFormat chart="11" format="5">
      <pivotArea type="data" outline="0" fieldPosition="0">
        <references count="2">
          <reference field="4294967294" count="1" selected="0">
            <x v="0"/>
          </reference>
          <reference field="9" count="1" selected="0">
            <x v="4"/>
          </reference>
        </references>
      </pivotArea>
    </chartFormat>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9" count="1" selected="0">
            <x v="0"/>
          </reference>
        </references>
      </pivotArea>
    </chartFormat>
    <chartFormat chart="17" format="14">
      <pivotArea type="data" outline="0" fieldPosition="0">
        <references count="2">
          <reference field="4294967294" count="1" selected="0">
            <x v="0"/>
          </reference>
          <reference field="9" count="1" selected="0">
            <x v="1"/>
          </reference>
        </references>
      </pivotArea>
    </chartFormat>
    <chartFormat chart="17" format="15">
      <pivotArea type="data" outline="0" fieldPosition="0">
        <references count="2">
          <reference field="4294967294" count="1" selected="0">
            <x v="0"/>
          </reference>
          <reference field="9" count="1" selected="0">
            <x v="2"/>
          </reference>
        </references>
      </pivotArea>
    </chartFormat>
    <chartFormat chart="17" format="16">
      <pivotArea type="data" outline="0" fieldPosition="0">
        <references count="2">
          <reference field="4294967294" count="1" selected="0">
            <x v="0"/>
          </reference>
          <reference field="9" count="1" selected="0">
            <x v="3"/>
          </reference>
        </references>
      </pivotArea>
    </chartFormat>
    <chartFormat chart="17" format="17">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_Category" xr10:uid="{5548AEBD-9829-4577-8DBE-CBDCD6D1B4FE}" sourceName="Price Category">
  <pivotTables>
    <pivotTable tabId="4" name="PivotTable5"/>
    <pivotTable tabId="4" name="PivotTable10"/>
    <pivotTable tabId="4" name="PivotTable3"/>
    <pivotTable tabId="4" name="PivotTable4"/>
    <pivotTable tabId="4" name="PivotTable6"/>
    <pivotTable tabId="4" name="PivotTable7"/>
    <pivotTable tabId="4" name="PivotTable8"/>
  </pivotTables>
  <data>
    <tabular pivotCacheId="2121760161">
      <items count="4">
        <i x="1" s="1"/>
        <i x="2" s="1"/>
        <i x="0"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576CEC0E-64CD-4EE4-9331-06AFEC65302E}" sourceName="Discount Category">
  <pivotTables>
    <pivotTable tabId="4" name="PivotTable5"/>
    <pivotTable tabId="4" name="PivotTable10"/>
    <pivotTable tabId="4" name="PivotTable3"/>
    <pivotTable tabId="4" name="PivotTable4"/>
    <pivotTable tabId="4" name="PivotTable6"/>
    <pivotTable tabId="4" name="PivotTable7"/>
    <pivotTable tabId="4" name="PivotTable8"/>
  </pivotTables>
  <data>
    <tabular pivotCacheId="2121760161">
      <items count="4">
        <i x="1" s="1"/>
        <i x="2" s="1"/>
        <i x="0" s="1"/>
        <i x="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30CED102-BB50-4CC7-9AFC-934D483C1B56}" sourceName="Rating Category">
  <pivotTables>
    <pivotTable tabId="4" name="PivotTable5"/>
    <pivotTable tabId="4" name="PivotTable10"/>
    <pivotTable tabId="4" name="PivotTable3"/>
    <pivotTable tabId="4" name="PivotTable4"/>
    <pivotTable tabId="4" name="PivotTable6"/>
    <pivotTable tabId="4" name="PivotTable7"/>
    <pivotTable tabId="4" name="PivotTable8"/>
  </pivotTables>
  <data>
    <tabular pivotCacheId="2121760161">
      <items count="5">
        <i x="0" s="1"/>
        <i x="1" s="1"/>
        <i x="2" s="1"/>
        <i x="3" s="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xr10:uid="{13F92C68-5645-42F7-BC4C-5200A0454FA9}" cache="Slicer_Price_Category" caption="Price Category" rowHeight="257175"/>
  <slicer name="Discount Category" xr10:uid="{4B77372C-C3AB-4C08-9331-4F2F1DD2F45D}" cache="Slicer_Discount_Category" caption="Discount Category" rowHeight="257175"/>
  <slicer name="Rating Category" xr10:uid="{11C83AAB-E3AF-420D-A0B8-A0D886CD512A}" cache="Slicer_Rating_Category" caption="Rating Category"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ice Category 1" xr10:uid="{46E16CC1-D233-43BF-BBE6-209EE1221D7D}" cache="Slicer_Price_Category" caption="Price Category" rowHeight="257175"/>
  <slicer name="Discount Category 1" xr10:uid="{DFF6868B-DD96-4E7D-94AF-202A2262867C}" cache="Slicer_Discount_Category" caption="Discount Category" rowHeight="257175"/>
  <slicer name="Rating Category 1" xr10:uid="{1B2BCA7A-DBC6-4A70-8341-B1B5B86BD94B}" cache="Slicer_Rating_Category" caption="Rating Category"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C47F4CA-EFB5-421C-9BEC-D0D58D6D7890}" name="Table3" displayName="Table3" ref="A1:K113" totalsRowShown="0" headerRowDxfId="7">
  <autoFilter ref="A1:K113" xr:uid="{AC47F4CA-EFB5-421C-9BEC-D0D58D6D7890}"/>
  <tableColumns count="11">
    <tableColumn id="1" xr3:uid="{174E2894-DEAA-4B55-9A80-EA0B77D47722}" name="Product"/>
    <tableColumn id="2" xr3:uid="{B7737DD8-FE8C-43FC-9BC7-6D83B893CF96}" name="Current Price" dataDxfId="6"/>
    <tableColumn id="13" xr3:uid="{D0205127-8F7B-4676-BB86-84D4B4EA73E8}" name="Price Category" dataDxfId="5">
      <calculatedColumnFormula>IF(Table3[[#This Row],[Current Price]]="","Missing",IF(Table3[[#This Row],[Current Price]]&lt;=Price_Q1,"Low Price",IF(Table3[[#This Row],[Current Price]]&lt;=Price_Q3,"Medium Price","High Price")))</calculatedColumnFormula>
    </tableColumn>
    <tableColumn id="3" xr3:uid="{07506288-9EB3-4186-AC3B-44A586845FAF}" name="Old Price" dataDxfId="4"/>
    <tableColumn id="4" xr3:uid="{F62D54C4-EEFC-4341-84A1-91A311C057A7}" name="Discount" dataDxfId="3"/>
    <tableColumn id="11" xr3:uid="{377164EB-134A-44CE-8A81-E6004C1E0D61}" name="Discount Category" dataDxfId="2">
      <calculatedColumnFormula>IF(Table3[[#This Row],[Discount]]="","Missing",IF(Table3[[#This Row],[Discount]]&lt;0.2,"Low Discount",IF(Table3[[#This Row],[Discount]]&lt;=0.4,"Medium Discount","High Discount")))</calculatedColumnFormula>
    </tableColumn>
    <tableColumn id="7" xr3:uid="{F1DA8FAD-2971-438D-9986-13CBDDC63344}" name="Discount Amount" dataDxfId="1">
      <calculatedColumnFormula>Table3[[#This Row],[Old Price]]-Table3[[#This Row],[Current Price]]</calculatedColumnFormula>
    </tableColumn>
    <tableColumn id="5" xr3:uid="{0A30C68C-F5DF-4366-A40D-FA5301AAA2C7}" name="Review"/>
    <tableColumn id="8" xr3:uid="{C5F14C3C-07EC-4C00-A34B-48838AFABE88}" name="Rating"/>
    <tableColumn id="6" xr3:uid="{A37BB3A6-57F3-45C1-8506-649BA456D4B3}" name="Rating Category" dataDxfId="0">
      <calculatedColumnFormula>IF(Table3[[#This Row],[Rating]]="","Missing",IF(Table3[[#This Row],[Rating]]&lt;3,"Poor",IF(Table3[[#This Row],[Rating]]&lt;=4.5,"Average","Excellent")))</calculatedColumnFormula>
    </tableColumn>
    <tableColumn id="12" xr3:uid="{E761BC2A-1855-4089-A3C3-72EAE4C8C24D}" name="Validation Check">
      <calculatedColumnFormula>IF(OR(Table3[[#This Row],[Rating]]&lt;0,Table3[[#This Row],[Rating]]&gt;5),"Check rating",IF(OR(Table3[[#This Row],[Discount]]&lt;0,Table3[[#This Row],[Discount]]&gt;1),"Check discount",IF(Table3[[#This Row],[Current Price]]&gt;Table3[[#This Row],[Old Price]],"Check prices","OK")))</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24C2A-35CF-4302-81FD-E558021B1FB6}">
  <dimension ref="A1:F116"/>
  <sheetViews>
    <sheetView workbookViewId="0">
      <selection activeCell="C7" sqref="C7"/>
    </sheetView>
  </sheetViews>
  <sheetFormatPr defaultRowHeight="15" x14ac:dyDescent="0.25"/>
  <cols>
    <col min="1" max="1" width="95" bestFit="1" customWidth="1"/>
    <col min="2" max="3" width="19.42578125" bestFit="1" customWidth="1"/>
    <col min="4" max="4" width="8.85546875" bestFit="1" customWidth="1"/>
    <col min="5" max="5" width="7" bestFit="1" customWidth="1"/>
    <col min="6" max="6" width="10.42578125" bestFit="1" customWidth="1"/>
  </cols>
  <sheetData>
    <row r="1" spans="1:6" x14ac:dyDescent="0.25">
      <c r="A1" t="s">
        <v>0</v>
      </c>
      <c r="B1" t="s">
        <v>1</v>
      </c>
      <c r="C1" t="s">
        <v>2</v>
      </c>
      <c r="D1" t="s">
        <v>3</v>
      </c>
      <c r="E1" t="s">
        <v>4</v>
      </c>
      <c r="F1" t="s">
        <v>5</v>
      </c>
    </row>
    <row r="2" spans="1:6" x14ac:dyDescent="0.25">
      <c r="A2" t="s">
        <v>6</v>
      </c>
      <c r="B2" t="s">
        <v>7</v>
      </c>
      <c r="C2" t="s">
        <v>8</v>
      </c>
      <c r="D2" s="1">
        <v>0.38</v>
      </c>
      <c r="E2">
        <v>-2</v>
      </c>
      <c r="F2" t="s">
        <v>9</v>
      </c>
    </row>
    <row r="3" spans="1:6" x14ac:dyDescent="0.25">
      <c r="A3" t="s">
        <v>10</v>
      </c>
      <c r="B3" t="s">
        <v>11</v>
      </c>
      <c r="C3" t="s">
        <v>12</v>
      </c>
      <c r="D3" s="1">
        <v>0.47</v>
      </c>
      <c r="E3">
        <v>-14</v>
      </c>
      <c r="F3" t="s">
        <v>13</v>
      </c>
    </row>
    <row r="4" spans="1:6" x14ac:dyDescent="0.25">
      <c r="A4" t="s">
        <v>14</v>
      </c>
      <c r="B4" t="s">
        <v>15</v>
      </c>
      <c r="C4" t="s">
        <v>16</v>
      </c>
      <c r="D4" s="1">
        <v>0.25</v>
      </c>
      <c r="E4">
        <v>-24</v>
      </c>
      <c r="F4" t="s">
        <v>17</v>
      </c>
    </row>
    <row r="5" spans="1:6" x14ac:dyDescent="0.25">
      <c r="A5" t="s">
        <v>18</v>
      </c>
      <c r="B5" t="s">
        <v>19</v>
      </c>
      <c r="C5" t="s">
        <v>20</v>
      </c>
      <c r="D5" s="1">
        <v>0.37</v>
      </c>
      <c r="E5">
        <v>-7</v>
      </c>
      <c r="F5" t="s">
        <v>21</v>
      </c>
    </row>
    <row r="6" spans="1:6" x14ac:dyDescent="0.25">
      <c r="A6" t="s">
        <v>22</v>
      </c>
      <c r="B6" t="s">
        <v>23</v>
      </c>
      <c r="C6" t="s">
        <v>24</v>
      </c>
      <c r="D6" s="1">
        <v>0.26</v>
      </c>
      <c r="E6">
        <v>-5</v>
      </c>
      <c r="F6" t="s">
        <v>25</v>
      </c>
    </row>
    <row r="7" spans="1:6" x14ac:dyDescent="0.25">
      <c r="A7" t="s">
        <v>26</v>
      </c>
      <c r="B7" t="s">
        <v>27</v>
      </c>
      <c r="C7" t="s">
        <v>28</v>
      </c>
      <c r="D7" s="1">
        <v>0.09</v>
      </c>
      <c r="E7">
        <v>-15</v>
      </c>
      <c r="F7" t="s">
        <v>29</v>
      </c>
    </row>
    <row r="8" spans="1:6" x14ac:dyDescent="0.25">
      <c r="A8" t="s">
        <v>30</v>
      </c>
      <c r="B8" t="s">
        <v>31</v>
      </c>
      <c r="C8" t="s">
        <v>32</v>
      </c>
      <c r="D8" s="1">
        <v>0.24</v>
      </c>
      <c r="E8">
        <v>-55</v>
      </c>
      <c r="F8" t="s">
        <v>17</v>
      </c>
    </row>
    <row r="9" spans="1:6" x14ac:dyDescent="0.25">
      <c r="A9" t="s">
        <v>33</v>
      </c>
      <c r="B9" t="s">
        <v>34</v>
      </c>
      <c r="C9" t="s">
        <v>19</v>
      </c>
      <c r="D9" s="1">
        <v>0.37</v>
      </c>
      <c r="E9">
        <v>-2</v>
      </c>
      <c r="F9" t="s">
        <v>29</v>
      </c>
    </row>
    <row r="10" spans="1:6" x14ac:dyDescent="0.25">
      <c r="A10" t="s">
        <v>35</v>
      </c>
      <c r="B10" t="s">
        <v>36</v>
      </c>
      <c r="C10" t="s">
        <v>37</v>
      </c>
      <c r="D10" s="1">
        <v>0.55000000000000004</v>
      </c>
      <c r="E10">
        <v>-5</v>
      </c>
      <c r="F10" t="s">
        <v>25</v>
      </c>
    </row>
    <row r="11" spans="1:6" x14ac:dyDescent="0.25">
      <c r="A11" t="s">
        <v>38</v>
      </c>
      <c r="B11" t="s">
        <v>39</v>
      </c>
      <c r="C11" t="s">
        <v>40</v>
      </c>
      <c r="D11" s="1">
        <v>0.45</v>
      </c>
      <c r="E11">
        <v>-5</v>
      </c>
      <c r="F11" t="s">
        <v>41</v>
      </c>
    </row>
    <row r="12" spans="1:6" x14ac:dyDescent="0.25">
      <c r="A12" t="s">
        <v>42</v>
      </c>
      <c r="B12" t="s">
        <v>43</v>
      </c>
      <c r="C12" t="s">
        <v>12</v>
      </c>
      <c r="D12" s="1">
        <v>0.2</v>
      </c>
      <c r="E12">
        <v>-12</v>
      </c>
      <c r="F12" t="s">
        <v>13</v>
      </c>
    </row>
    <row r="13" spans="1:6" x14ac:dyDescent="0.25">
      <c r="A13" t="s">
        <v>44</v>
      </c>
      <c r="B13" t="s">
        <v>45</v>
      </c>
      <c r="C13" t="s">
        <v>46</v>
      </c>
      <c r="D13" s="1">
        <v>0.34</v>
      </c>
      <c r="E13">
        <v>-39</v>
      </c>
      <c r="F13" t="s">
        <v>21</v>
      </c>
    </row>
    <row r="14" spans="1:6" x14ac:dyDescent="0.25">
      <c r="A14" t="s">
        <v>47</v>
      </c>
      <c r="B14" t="s">
        <v>48</v>
      </c>
      <c r="C14" t="s">
        <v>49</v>
      </c>
      <c r="D14" s="1">
        <v>0.47</v>
      </c>
      <c r="E14">
        <v>-12</v>
      </c>
      <c r="F14" t="s">
        <v>25</v>
      </c>
    </row>
    <row r="15" spans="1:6" x14ac:dyDescent="0.25">
      <c r="A15" t="s">
        <v>50</v>
      </c>
      <c r="B15" t="s">
        <v>51</v>
      </c>
      <c r="C15" t="s">
        <v>52</v>
      </c>
      <c r="D15" s="1">
        <v>0.42</v>
      </c>
      <c r="E15">
        <v>-6</v>
      </c>
      <c r="F15" t="s">
        <v>9</v>
      </c>
    </row>
    <row r="16" spans="1:6" x14ac:dyDescent="0.25">
      <c r="A16" t="s">
        <v>53</v>
      </c>
      <c r="B16" t="s">
        <v>54</v>
      </c>
      <c r="C16" t="s">
        <v>20</v>
      </c>
      <c r="D16" s="1">
        <v>0.33</v>
      </c>
      <c r="E16">
        <v>-9</v>
      </c>
      <c r="F16" t="s">
        <v>55</v>
      </c>
    </row>
    <row r="17" spans="1:6" x14ac:dyDescent="0.25">
      <c r="A17" t="s">
        <v>56</v>
      </c>
      <c r="B17" t="s">
        <v>57</v>
      </c>
      <c r="C17" t="s">
        <v>58</v>
      </c>
      <c r="D17" s="1">
        <v>0.51</v>
      </c>
      <c r="E17">
        <v>-2</v>
      </c>
      <c r="F17" t="s">
        <v>59</v>
      </c>
    </row>
    <row r="18" spans="1:6" x14ac:dyDescent="0.25">
      <c r="A18" t="s">
        <v>60</v>
      </c>
      <c r="B18" t="s">
        <v>61</v>
      </c>
      <c r="C18" t="s">
        <v>62</v>
      </c>
      <c r="D18" s="1">
        <v>0.46</v>
      </c>
      <c r="E18">
        <v>-2</v>
      </c>
      <c r="F18" t="s">
        <v>59</v>
      </c>
    </row>
    <row r="19" spans="1:6" x14ac:dyDescent="0.25">
      <c r="A19" t="s">
        <v>63</v>
      </c>
      <c r="B19" t="s">
        <v>64</v>
      </c>
      <c r="C19" t="s">
        <v>65</v>
      </c>
      <c r="D19" s="1">
        <v>0.49</v>
      </c>
      <c r="E19">
        <v>-3</v>
      </c>
      <c r="F19" t="s">
        <v>59</v>
      </c>
    </row>
    <row r="20" spans="1:6" x14ac:dyDescent="0.25">
      <c r="A20" t="s">
        <v>66</v>
      </c>
      <c r="B20" t="s">
        <v>27</v>
      </c>
      <c r="C20" t="s">
        <v>67</v>
      </c>
      <c r="D20" s="1">
        <v>0.19</v>
      </c>
      <c r="E20">
        <v>-5</v>
      </c>
      <c r="F20" t="s">
        <v>17</v>
      </c>
    </row>
    <row r="21" spans="1:6" x14ac:dyDescent="0.25">
      <c r="A21" t="s">
        <v>68</v>
      </c>
      <c r="B21" t="s">
        <v>69</v>
      </c>
      <c r="C21" t="s">
        <v>70</v>
      </c>
      <c r="D21" s="1">
        <v>0.49</v>
      </c>
      <c r="E21">
        <v>-44</v>
      </c>
      <c r="F21" t="s">
        <v>17</v>
      </c>
    </row>
    <row r="22" spans="1:6" x14ac:dyDescent="0.25">
      <c r="A22" t="s">
        <v>71</v>
      </c>
      <c r="B22" t="s">
        <v>72</v>
      </c>
      <c r="C22" t="s">
        <v>73</v>
      </c>
      <c r="D22" s="1">
        <v>0.53</v>
      </c>
      <c r="E22">
        <v>-13</v>
      </c>
      <c r="F22" t="s">
        <v>74</v>
      </c>
    </row>
    <row r="23" spans="1:6" x14ac:dyDescent="0.25">
      <c r="A23" t="s">
        <v>75</v>
      </c>
      <c r="B23" t="s">
        <v>76</v>
      </c>
      <c r="C23" t="s">
        <v>77</v>
      </c>
      <c r="D23" s="1">
        <v>0.42</v>
      </c>
    </row>
    <row r="24" spans="1:6" x14ac:dyDescent="0.25">
      <c r="A24" t="s">
        <v>78</v>
      </c>
      <c r="B24" t="s">
        <v>79</v>
      </c>
      <c r="C24" t="s">
        <v>80</v>
      </c>
      <c r="D24" s="1">
        <v>0.35</v>
      </c>
      <c r="E24">
        <v>-6</v>
      </c>
      <c r="F24" t="s">
        <v>29</v>
      </c>
    </row>
    <row r="25" spans="1:6" x14ac:dyDescent="0.25">
      <c r="A25" t="s">
        <v>81</v>
      </c>
      <c r="B25" t="s">
        <v>82</v>
      </c>
      <c r="C25" t="s">
        <v>83</v>
      </c>
      <c r="D25" s="1">
        <v>0.23</v>
      </c>
      <c r="E25">
        <v>-14</v>
      </c>
      <c r="F25" t="s">
        <v>84</v>
      </c>
    </row>
    <row r="26" spans="1:6" x14ac:dyDescent="0.25">
      <c r="A26" t="s">
        <v>85</v>
      </c>
      <c r="B26" t="s">
        <v>86</v>
      </c>
      <c r="C26" t="s">
        <v>87</v>
      </c>
      <c r="D26" s="1">
        <v>0.54</v>
      </c>
      <c r="E26">
        <v>-7</v>
      </c>
      <c r="F26" t="s">
        <v>88</v>
      </c>
    </row>
    <row r="27" spans="1:6" x14ac:dyDescent="0.25">
      <c r="A27" t="s">
        <v>89</v>
      </c>
      <c r="B27" t="s">
        <v>90</v>
      </c>
      <c r="C27" t="s">
        <v>91</v>
      </c>
      <c r="D27" s="1">
        <v>0.35</v>
      </c>
      <c r="E27">
        <v>-49</v>
      </c>
      <c r="F27" t="s">
        <v>17</v>
      </c>
    </row>
    <row r="28" spans="1:6" x14ac:dyDescent="0.25">
      <c r="A28" t="s">
        <v>92</v>
      </c>
      <c r="B28" t="s">
        <v>93</v>
      </c>
      <c r="C28" t="s">
        <v>94</v>
      </c>
      <c r="D28" s="1">
        <v>0.18</v>
      </c>
      <c r="E28">
        <v>-12</v>
      </c>
      <c r="F28" t="s">
        <v>41</v>
      </c>
    </row>
    <row r="29" spans="1:6" x14ac:dyDescent="0.25">
      <c r="A29" t="s">
        <v>95</v>
      </c>
      <c r="B29" t="s">
        <v>80</v>
      </c>
      <c r="C29" t="s">
        <v>96</v>
      </c>
      <c r="D29" s="1">
        <v>0.32</v>
      </c>
      <c r="E29">
        <v>-13</v>
      </c>
      <c r="F29" t="s">
        <v>41</v>
      </c>
    </row>
    <row r="30" spans="1:6" x14ac:dyDescent="0.25">
      <c r="A30" t="s">
        <v>97</v>
      </c>
      <c r="B30" t="s">
        <v>98</v>
      </c>
      <c r="C30" t="s">
        <v>20</v>
      </c>
      <c r="D30" s="1">
        <v>0.3</v>
      </c>
      <c r="E30">
        <v>-20</v>
      </c>
      <c r="F30" t="s">
        <v>13</v>
      </c>
    </row>
    <row r="31" spans="1:6" x14ac:dyDescent="0.25">
      <c r="A31" t="s">
        <v>99</v>
      </c>
      <c r="B31" t="s">
        <v>100</v>
      </c>
      <c r="C31" t="s">
        <v>101</v>
      </c>
      <c r="D31" s="1">
        <v>0.46</v>
      </c>
    </row>
    <row r="32" spans="1:6" x14ac:dyDescent="0.25">
      <c r="A32" t="s">
        <v>102</v>
      </c>
      <c r="B32" t="s">
        <v>103</v>
      </c>
      <c r="C32" t="s">
        <v>104</v>
      </c>
      <c r="D32" s="1">
        <v>0.52</v>
      </c>
      <c r="E32">
        <v>-9</v>
      </c>
      <c r="F32" t="s">
        <v>88</v>
      </c>
    </row>
    <row r="33" spans="1:6" x14ac:dyDescent="0.25">
      <c r="A33" t="s">
        <v>105</v>
      </c>
      <c r="B33" t="s">
        <v>106</v>
      </c>
      <c r="C33" t="s">
        <v>107</v>
      </c>
      <c r="D33" s="1">
        <v>0.34</v>
      </c>
      <c r="E33">
        <v>-12</v>
      </c>
      <c r="F33" t="s">
        <v>21</v>
      </c>
    </row>
    <row r="34" spans="1:6" x14ac:dyDescent="0.25">
      <c r="A34" t="s">
        <v>108</v>
      </c>
      <c r="B34" t="s">
        <v>109</v>
      </c>
      <c r="C34" t="s">
        <v>110</v>
      </c>
      <c r="D34" s="1">
        <v>0.48</v>
      </c>
      <c r="E34">
        <v>-9</v>
      </c>
      <c r="F34" t="s">
        <v>88</v>
      </c>
    </row>
    <row r="35" spans="1:6" x14ac:dyDescent="0.25">
      <c r="A35" t="s">
        <v>111</v>
      </c>
      <c r="B35" t="s">
        <v>112</v>
      </c>
      <c r="C35" t="s">
        <v>113</v>
      </c>
      <c r="D35" s="1">
        <v>0.27</v>
      </c>
      <c r="E35">
        <v>-20</v>
      </c>
      <c r="F35" t="s">
        <v>21</v>
      </c>
    </row>
    <row r="36" spans="1:6" x14ac:dyDescent="0.25">
      <c r="A36" t="s">
        <v>114</v>
      </c>
      <c r="B36" t="s">
        <v>115</v>
      </c>
      <c r="C36" t="s">
        <v>116</v>
      </c>
      <c r="D36" s="1">
        <v>0.27</v>
      </c>
      <c r="E36">
        <v>-32</v>
      </c>
      <c r="F36" t="s">
        <v>9</v>
      </c>
    </row>
    <row r="37" spans="1:6" x14ac:dyDescent="0.25">
      <c r="A37" t="s">
        <v>117</v>
      </c>
      <c r="B37" t="s">
        <v>118</v>
      </c>
      <c r="C37" t="s">
        <v>119</v>
      </c>
      <c r="D37" s="1">
        <v>0.4</v>
      </c>
      <c r="E37">
        <v>-1</v>
      </c>
      <c r="F37" t="s">
        <v>59</v>
      </c>
    </row>
    <row r="38" spans="1:6" x14ac:dyDescent="0.25">
      <c r="A38" t="s">
        <v>120</v>
      </c>
      <c r="B38" t="s">
        <v>121</v>
      </c>
      <c r="C38" t="s">
        <v>62</v>
      </c>
      <c r="D38" s="1">
        <v>0.53</v>
      </c>
      <c r="E38">
        <v>-2</v>
      </c>
      <c r="F38" t="s">
        <v>59</v>
      </c>
    </row>
    <row r="39" spans="1:6" x14ac:dyDescent="0.25">
      <c r="A39" t="s">
        <v>122</v>
      </c>
      <c r="B39" t="s">
        <v>123</v>
      </c>
      <c r="C39" t="s">
        <v>124</v>
      </c>
      <c r="D39" s="1">
        <v>0.41</v>
      </c>
      <c r="E39">
        <v>-36</v>
      </c>
      <c r="F39" t="s">
        <v>88</v>
      </c>
    </row>
    <row r="40" spans="1:6" x14ac:dyDescent="0.25">
      <c r="A40" t="s">
        <v>125</v>
      </c>
      <c r="B40" t="s">
        <v>126</v>
      </c>
      <c r="C40" t="s">
        <v>127</v>
      </c>
      <c r="D40" s="1">
        <v>0.38</v>
      </c>
      <c r="E40">
        <v>-2</v>
      </c>
      <c r="F40" t="s">
        <v>9</v>
      </c>
    </row>
    <row r="41" spans="1:6" x14ac:dyDescent="0.25">
      <c r="A41" t="s">
        <v>128</v>
      </c>
      <c r="B41" t="s">
        <v>129</v>
      </c>
      <c r="C41" t="s">
        <v>130</v>
      </c>
      <c r="D41" s="1">
        <v>0.38</v>
      </c>
    </row>
    <row r="42" spans="1:6" x14ac:dyDescent="0.25">
      <c r="A42" t="s">
        <v>131</v>
      </c>
      <c r="B42" t="s">
        <v>132</v>
      </c>
      <c r="C42" t="s">
        <v>133</v>
      </c>
      <c r="D42" s="1">
        <v>0.49</v>
      </c>
    </row>
    <row r="43" spans="1:6" x14ac:dyDescent="0.25">
      <c r="A43" t="s">
        <v>134</v>
      </c>
      <c r="B43" t="s">
        <v>135</v>
      </c>
      <c r="C43" t="s">
        <v>136</v>
      </c>
      <c r="D43" s="1">
        <v>0.5</v>
      </c>
    </row>
    <row r="44" spans="1:6" x14ac:dyDescent="0.25">
      <c r="A44" t="s">
        <v>137</v>
      </c>
      <c r="B44" t="s">
        <v>138</v>
      </c>
      <c r="C44" t="s">
        <v>139</v>
      </c>
      <c r="D44" s="1">
        <v>0.42</v>
      </c>
    </row>
    <row r="45" spans="1:6" x14ac:dyDescent="0.25">
      <c r="A45" t="s">
        <v>137</v>
      </c>
      <c r="B45" t="s">
        <v>138</v>
      </c>
      <c r="C45" t="s">
        <v>139</v>
      </c>
      <c r="D45" s="1">
        <v>0.42</v>
      </c>
    </row>
    <row r="46" spans="1:6" x14ac:dyDescent="0.25">
      <c r="A46" t="s">
        <v>140</v>
      </c>
      <c r="B46" t="s">
        <v>141</v>
      </c>
      <c r="C46" t="s">
        <v>142</v>
      </c>
      <c r="D46" s="1">
        <v>0.02</v>
      </c>
    </row>
    <row r="47" spans="1:6" x14ac:dyDescent="0.25">
      <c r="A47" t="s">
        <v>143</v>
      </c>
      <c r="B47" t="s">
        <v>12</v>
      </c>
      <c r="C47" t="s">
        <v>144</v>
      </c>
      <c r="D47" s="1">
        <v>0.5</v>
      </c>
    </row>
    <row r="48" spans="1:6" x14ac:dyDescent="0.25">
      <c r="A48" t="s">
        <v>145</v>
      </c>
      <c r="B48" t="s">
        <v>146</v>
      </c>
      <c r="C48" t="s">
        <v>147</v>
      </c>
      <c r="D48" s="1">
        <v>0.33</v>
      </c>
    </row>
    <row r="49" spans="1:6" x14ac:dyDescent="0.25">
      <c r="A49" t="s">
        <v>148</v>
      </c>
      <c r="B49" t="s">
        <v>149</v>
      </c>
      <c r="C49" t="s">
        <v>150</v>
      </c>
      <c r="D49" s="1">
        <v>0.49</v>
      </c>
    </row>
    <row r="50" spans="1:6" x14ac:dyDescent="0.25">
      <c r="A50" t="s">
        <v>151</v>
      </c>
      <c r="B50" t="s">
        <v>152</v>
      </c>
      <c r="C50" t="s">
        <v>153</v>
      </c>
      <c r="D50" s="1">
        <v>0.38</v>
      </c>
    </row>
    <row r="51" spans="1:6" x14ac:dyDescent="0.25">
      <c r="A51" t="s">
        <v>154</v>
      </c>
      <c r="B51" t="s">
        <v>155</v>
      </c>
      <c r="C51" t="s">
        <v>156</v>
      </c>
      <c r="D51" s="1">
        <v>0.61</v>
      </c>
    </row>
    <row r="52" spans="1:6" x14ac:dyDescent="0.25">
      <c r="A52" t="s">
        <v>157</v>
      </c>
      <c r="B52" t="s">
        <v>158</v>
      </c>
      <c r="C52" t="s">
        <v>159</v>
      </c>
      <c r="D52" s="1">
        <v>0.5</v>
      </c>
    </row>
    <row r="53" spans="1:6" x14ac:dyDescent="0.25">
      <c r="A53" t="s">
        <v>160</v>
      </c>
      <c r="B53" t="s">
        <v>161</v>
      </c>
      <c r="C53" t="s">
        <v>162</v>
      </c>
      <c r="D53" s="1">
        <v>0.02</v>
      </c>
    </row>
    <row r="54" spans="1:6" x14ac:dyDescent="0.25">
      <c r="A54" t="s">
        <v>163</v>
      </c>
      <c r="B54" t="s">
        <v>158</v>
      </c>
      <c r="C54" t="s">
        <v>164</v>
      </c>
      <c r="D54" s="1">
        <v>0.22</v>
      </c>
    </row>
    <row r="55" spans="1:6" x14ac:dyDescent="0.25">
      <c r="A55" t="s">
        <v>165</v>
      </c>
      <c r="B55" t="s">
        <v>166</v>
      </c>
      <c r="C55" t="s">
        <v>167</v>
      </c>
      <c r="D55" s="1">
        <v>0.03</v>
      </c>
    </row>
    <row r="56" spans="1:6" x14ac:dyDescent="0.25">
      <c r="A56" t="s">
        <v>168</v>
      </c>
      <c r="B56" t="s">
        <v>43</v>
      </c>
      <c r="C56" t="s">
        <v>169</v>
      </c>
      <c r="D56" s="1">
        <v>0.41</v>
      </c>
    </row>
    <row r="57" spans="1:6" x14ac:dyDescent="0.25">
      <c r="A57" t="s">
        <v>170</v>
      </c>
      <c r="B57" t="s">
        <v>171</v>
      </c>
      <c r="C57" t="s">
        <v>172</v>
      </c>
      <c r="D57" s="1">
        <v>0.45</v>
      </c>
    </row>
    <row r="58" spans="1:6" x14ac:dyDescent="0.25">
      <c r="A58" t="s">
        <v>173</v>
      </c>
      <c r="B58" t="s">
        <v>174</v>
      </c>
      <c r="C58" t="s">
        <v>169</v>
      </c>
      <c r="D58" s="1">
        <v>0.48</v>
      </c>
    </row>
    <row r="59" spans="1:6" x14ac:dyDescent="0.25">
      <c r="A59" t="s">
        <v>175</v>
      </c>
      <c r="B59" t="s">
        <v>43</v>
      </c>
      <c r="C59" t="s">
        <v>176</v>
      </c>
      <c r="D59" s="1">
        <v>0.49</v>
      </c>
    </row>
    <row r="60" spans="1:6" x14ac:dyDescent="0.25">
      <c r="A60" t="s">
        <v>177</v>
      </c>
      <c r="B60" t="s">
        <v>178</v>
      </c>
      <c r="C60" t="s">
        <v>179</v>
      </c>
      <c r="D60" s="1">
        <v>0.27</v>
      </c>
    </row>
    <row r="61" spans="1:6" x14ac:dyDescent="0.25">
      <c r="A61" t="s">
        <v>170</v>
      </c>
      <c r="B61" t="s">
        <v>180</v>
      </c>
      <c r="C61" t="s">
        <v>181</v>
      </c>
      <c r="D61" s="1">
        <v>0.55000000000000004</v>
      </c>
    </row>
    <row r="62" spans="1:6" x14ac:dyDescent="0.25">
      <c r="A62" t="s">
        <v>182</v>
      </c>
      <c r="B62" t="s">
        <v>183</v>
      </c>
      <c r="C62" t="s">
        <v>184</v>
      </c>
      <c r="D62" s="1">
        <v>0.13</v>
      </c>
      <c r="E62">
        <v>-6</v>
      </c>
      <c r="F62" t="s">
        <v>185</v>
      </c>
    </row>
    <row r="63" spans="1:6" x14ac:dyDescent="0.25">
      <c r="A63" t="s">
        <v>186</v>
      </c>
      <c r="B63" t="s">
        <v>187</v>
      </c>
      <c r="C63" t="s">
        <v>188</v>
      </c>
      <c r="D63" s="1">
        <v>0.54</v>
      </c>
      <c r="E63">
        <v>-10</v>
      </c>
      <c r="F63" t="s">
        <v>189</v>
      </c>
    </row>
    <row r="64" spans="1:6" x14ac:dyDescent="0.25">
      <c r="A64" t="s">
        <v>190</v>
      </c>
      <c r="B64" t="s">
        <v>191</v>
      </c>
      <c r="C64" t="s">
        <v>192</v>
      </c>
      <c r="D64" s="1">
        <v>0.55000000000000004</v>
      </c>
      <c r="E64">
        <v>-13</v>
      </c>
      <c r="F64" t="s">
        <v>193</v>
      </c>
    </row>
    <row r="65" spans="1:6" x14ac:dyDescent="0.25">
      <c r="A65" t="s">
        <v>194</v>
      </c>
      <c r="B65" t="s">
        <v>195</v>
      </c>
      <c r="C65" t="s">
        <v>196</v>
      </c>
      <c r="D65" s="1">
        <v>0.49</v>
      </c>
      <c r="E65">
        <v>-69</v>
      </c>
      <c r="F65" t="s">
        <v>197</v>
      </c>
    </row>
    <row r="66" spans="1:6" x14ac:dyDescent="0.25">
      <c r="A66" t="s">
        <v>198</v>
      </c>
      <c r="B66" t="s">
        <v>199</v>
      </c>
      <c r="C66" t="s">
        <v>200</v>
      </c>
      <c r="D66" s="1">
        <v>0.52</v>
      </c>
      <c r="E66">
        <v>-15</v>
      </c>
      <c r="F66" t="s">
        <v>201</v>
      </c>
    </row>
    <row r="67" spans="1:6" x14ac:dyDescent="0.25">
      <c r="A67" t="s">
        <v>202</v>
      </c>
      <c r="B67" t="s">
        <v>203</v>
      </c>
      <c r="C67" t="s">
        <v>204</v>
      </c>
      <c r="D67" s="1">
        <v>0.22</v>
      </c>
      <c r="E67">
        <v>-16</v>
      </c>
      <c r="F67" t="s">
        <v>205</v>
      </c>
    </row>
    <row r="68" spans="1:6" x14ac:dyDescent="0.25">
      <c r="A68" t="s">
        <v>206</v>
      </c>
      <c r="B68" t="s">
        <v>45</v>
      </c>
      <c r="C68" t="s">
        <v>207</v>
      </c>
      <c r="D68" s="1">
        <v>0.45</v>
      </c>
      <c r="E68">
        <v>-6</v>
      </c>
      <c r="F68" t="s">
        <v>208</v>
      </c>
    </row>
    <row r="69" spans="1:6" x14ac:dyDescent="0.25">
      <c r="A69" t="s">
        <v>209</v>
      </c>
      <c r="B69" t="s">
        <v>210</v>
      </c>
      <c r="C69" t="s">
        <v>144</v>
      </c>
      <c r="D69" s="1">
        <v>0.5</v>
      </c>
      <c r="E69">
        <v>-7</v>
      </c>
      <c r="F69" t="s">
        <v>211</v>
      </c>
    </row>
    <row r="70" spans="1:6" x14ac:dyDescent="0.25">
      <c r="A70" t="s">
        <v>212</v>
      </c>
      <c r="B70" t="s">
        <v>213</v>
      </c>
      <c r="C70" t="s">
        <v>214</v>
      </c>
      <c r="D70" s="1">
        <v>0.39</v>
      </c>
      <c r="E70">
        <v>-5</v>
      </c>
      <c r="F70" t="s">
        <v>189</v>
      </c>
    </row>
    <row r="71" spans="1:6" x14ac:dyDescent="0.25">
      <c r="A71" t="s">
        <v>215</v>
      </c>
      <c r="B71" t="s">
        <v>104</v>
      </c>
      <c r="C71" t="s">
        <v>216</v>
      </c>
      <c r="D71" s="1">
        <v>0.45</v>
      </c>
      <c r="E71">
        <v>-17</v>
      </c>
      <c r="F71" t="s">
        <v>217</v>
      </c>
    </row>
    <row r="72" spans="1:6" x14ac:dyDescent="0.25">
      <c r="A72" t="s">
        <v>218</v>
      </c>
      <c r="B72" t="s">
        <v>219</v>
      </c>
      <c r="C72" t="s">
        <v>220</v>
      </c>
      <c r="D72" s="1">
        <v>0.28999999999999998</v>
      </c>
      <c r="E72">
        <v>-5</v>
      </c>
      <c r="F72" t="s">
        <v>189</v>
      </c>
    </row>
    <row r="73" spans="1:6" x14ac:dyDescent="0.25">
      <c r="A73" t="s">
        <v>221</v>
      </c>
      <c r="B73" t="s">
        <v>222</v>
      </c>
      <c r="C73" t="s">
        <v>223</v>
      </c>
      <c r="D73" s="1">
        <v>0.43</v>
      </c>
      <c r="E73">
        <v>-6</v>
      </c>
      <c r="F73" t="s">
        <v>211</v>
      </c>
    </row>
    <row r="74" spans="1:6" x14ac:dyDescent="0.25">
      <c r="A74" t="s">
        <v>224</v>
      </c>
      <c r="B74" t="s">
        <v>225</v>
      </c>
      <c r="C74" t="s">
        <v>226</v>
      </c>
      <c r="D74" s="1">
        <v>0.43</v>
      </c>
      <c r="E74">
        <v>-5</v>
      </c>
      <c r="F74" t="s">
        <v>189</v>
      </c>
    </row>
    <row r="75" spans="1:6" x14ac:dyDescent="0.25">
      <c r="A75" t="s">
        <v>227</v>
      </c>
      <c r="B75" t="s">
        <v>228</v>
      </c>
      <c r="C75" t="s">
        <v>207</v>
      </c>
      <c r="D75" s="1">
        <v>0.47</v>
      </c>
      <c r="E75">
        <v>-6</v>
      </c>
      <c r="F75" t="s">
        <v>208</v>
      </c>
    </row>
    <row r="76" spans="1:6" x14ac:dyDescent="0.25">
      <c r="A76" t="s">
        <v>229</v>
      </c>
      <c r="B76" t="s">
        <v>230</v>
      </c>
      <c r="C76" t="s">
        <v>231</v>
      </c>
      <c r="D76" s="1">
        <v>0.47</v>
      </c>
      <c r="E76">
        <v>-7</v>
      </c>
      <c r="F76" t="s">
        <v>193</v>
      </c>
    </row>
    <row r="77" spans="1:6" x14ac:dyDescent="0.25">
      <c r="A77" t="s">
        <v>232</v>
      </c>
      <c r="B77" t="s">
        <v>233</v>
      </c>
      <c r="C77" t="s">
        <v>234</v>
      </c>
      <c r="D77" s="1">
        <v>0.47</v>
      </c>
    </row>
    <row r="78" spans="1:6" x14ac:dyDescent="0.25">
      <c r="A78" t="s">
        <v>235</v>
      </c>
      <c r="B78" t="s">
        <v>236</v>
      </c>
      <c r="C78" t="s">
        <v>152</v>
      </c>
      <c r="D78" s="1">
        <v>0.43</v>
      </c>
    </row>
    <row r="79" spans="1:6" x14ac:dyDescent="0.25">
      <c r="A79" t="s">
        <v>237</v>
      </c>
      <c r="B79" t="s">
        <v>238</v>
      </c>
      <c r="C79" t="s">
        <v>239</v>
      </c>
      <c r="D79" s="1">
        <v>0.04</v>
      </c>
    </row>
    <row r="80" spans="1:6" x14ac:dyDescent="0.25">
      <c r="A80" t="s">
        <v>240</v>
      </c>
      <c r="B80" t="s">
        <v>241</v>
      </c>
      <c r="C80" t="s">
        <v>242</v>
      </c>
      <c r="D80" s="1">
        <v>0.49</v>
      </c>
    </row>
    <row r="81" spans="1:6" x14ac:dyDescent="0.25">
      <c r="A81" t="s">
        <v>243</v>
      </c>
      <c r="B81" t="s">
        <v>244</v>
      </c>
      <c r="C81" t="s">
        <v>15</v>
      </c>
      <c r="D81" s="1">
        <v>0.46</v>
      </c>
      <c r="E81">
        <v>-1</v>
      </c>
      <c r="F81" t="s">
        <v>189</v>
      </c>
    </row>
    <row r="82" spans="1:6" x14ac:dyDescent="0.25">
      <c r="A82" t="s">
        <v>245</v>
      </c>
      <c r="B82" t="s">
        <v>246</v>
      </c>
      <c r="C82" t="s">
        <v>247</v>
      </c>
      <c r="D82" s="1">
        <v>0.49</v>
      </c>
      <c r="E82">
        <v>-1</v>
      </c>
      <c r="F82" t="s">
        <v>59</v>
      </c>
    </row>
    <row r="83" spans="1:6" x14ac:dyDescent="0.25">
      <c r="A83" t="s">
        <v>248</v>
      </c>
      <c r="B83" t="s">
        <v>249</v>
      </c>
      <c r="C83" t="s">
        <v>250</v>
      </c>
      <c r="D83" s="1">
        <v>0.36</v>
      </c>
    </row>
    <row r="84" spans="1:6" x14ac:dyDescent="0.25">
      <c r="A84" t="s">
        <v>251</v>
      </c>
      <c r="B84" t="s">
        <v>252</v>
      </c>
      <c r="C84" t="s">
        <v>162</v>
      </c>
      <c r="D84" s="1">
        <v>0.02</v>
      </c>
    </row>
    <row r="85" spans="1:6" x14ac:dyDescent="0.25">
      <c r="A85" t="s">
        <v>253</v>
      </c>
      <c r="B85" t="s">
        <v>254</v>
      </c>
      <c r="C85" t="s">
        <v>91</v>
      </c>
      <c r="D85" s="1">
        <v>0.49</v>
      </c>
      <c r="E85">
        <v>-1</v>
      </c>
      <c r="F85" t="s">
        <v>29</v>
      </c>
    </row>
    <row r="86" spans="1:6" x14ac:dyDescent="0.25">
      <c r="A86" t="s">
        <v>137</v>
      </c>
      <c r="B86" t="s">
        <v>138</v>
      </c>
      <c r="C86" t="s">
        <v>139</v>
      </c>
      <c r="D86" s="1">
        <v>0.42</v>
      </c>
    </row>
    <row r="87" spans="1:6" x14ac:dyDescent="0.25">
      <c r="A87" t="s">
        <v>154</v>
      </c>
      <c r="B87" t="s">
        <v>255</v>
      </c>
      <c r="C87" t="s">
        <v>222</v>
      </c>
      <c r="D87" s="1">
        <v>0.49</v>
      </c>
    </row>
    <row r="88" spans="1:6" x14ac:dyDescent="0.25">
      <c r="A88" t="s">
        <v>256</v>
      </c>
      <c r="B88" t="s">
        <v>257</v>
      </c>
      <c r="C88" t="s">
        <v>162</v>
      </c>
      <c r="D88" s="1">
        <v>0.14000000000000001</v>
      </c>
    </row>
    <row r="89" spans="1:6" x14ac:dyDescent="0.25">
      <c r="A89" t="s">
        <v>258</v>
      </c>
      <c r="B89" t="s">
        <v>259</v>
      </c>
      <c r="C89" t="s">
        <v>260</v>
      </c>
      <c r="D89" s="1">
        <v>0.49</v>
      </c>
    </row>
    <row r="90" spans="1:6" x14ac:dyDescent="0.25">
      <c r="A90" t="s">
        <v>261</v>
      </c>
      <c r="B90" t="s">
        <v>43</v>
      </c>
      <c r="C90" t="s">
        <v>172</v>
      </c>
      <c r="D90" s="1">
        <v>0.11</v>
      </c>
    </row>
    <row r="91" spans="1:6" x14ac:dyDescent="0.25">
      <c r="A91" t="s">
        <v>175</v>
      </c>
      <c r="B91" t="s">
        <v>262</v>
      </c>
      <c r="C91" t="s">
        <v>263</v>
      </c>
      <c r="D91" s="1">
        <v>0.49</v>
      </c>
    </row>
    <row r="92" spans="1:6" x14ac:dyDescent="0.25">
      <c r="A92" t="s">
        <v>264</v>
      </c>
      <c r="B92" t="s">
        <v>265</v>
      </c>
      <c r="C92" t="s">
        <v>162</v>
      </c>
      <c r="D92" s="1">
        <v>0.14000000000000001</v>
      </c>
    </row>
    <row r="93" spans="1:6" x14ac:dyDescent="0.25">
      <c r="A93" t="s">
        <v>266</v>
      </c>
      <c r="B93" t="s">
        <v>267</v>
      </c>
      <c r="C93" t="s">
        <v>268</v>
      </c>
      <c r="D93" s="1">
        <v>0.43</v>
      </c>
    </row>
    <row r="94" spans="1:6" x14ac:dyDescent="0.25">
      <c r="A94" t="s">
        <v>269</v>
      </c>
      <c r="B94" t="s">
        <v>270</v>
      </c>
      <c r="C94" t="s">
        <v>271</v>
      </c>
      <c r="D94" s="1">
        <v>0.5</v>
      </c>
    </row>
    <row r="95" spans="1:6" x14ac:dyDescent="0.25">
      <c r="A95" t="s">
        <v>272</v>
      </c>
      <c r="B95" t="s">
        <v>273</v>
      </c>
      <c r="C95" t="s">
        <v>184</v>
      </c>
      <c r="D95" s="1">
        <v>0.48</v>
      </c>
    </row>
    <row r="96" spans="1:6" x14ac:dyDescent="0.25">
      <c r="A96" t="s">
        <v>274</v>
      </c>
      <c r="B96" t="s">
        <v>275</v>
      </c>
      <c r="C96" t="s">
        <v>276</v>
      </c>
      <c r="D96" s="1">
        <v>0.48</v>
      </c>
    </row>
    <row r="97" spans="1:6" x14ac:dyDescent="0.25">
      <c r="A97" t="s">
        <v>277</v>
      </c>
      <c r="B97" t="s">
        <v>226</v>
      </c>
      <c r="C97" t="s">
        <v>162</v>
      </c>
      <c r="D97" s="1">
        <v>0.47</v>
      </c>
    </row>
    <row r="98" spans="1:6" x14ac:dyDescent="0.25">
      <c r="A98" t="s">
        <v>277</v>
      </c>
      <c r="B98" t="s">
        <v>226</v>
      </c>
      <c r="C98" t="s">
        <v>162</v>
      </c>
      <c r="D98" s="1">
        <v>0.47</v>
      </c>
    </row>
    <row r="99" spans="1:6" x14ac:dyDescent="0.25">
      <c r="A99" t="s">
        <v>278</v>
      </c>
      <c r="B99" t="s">
        <v>152</v>
      </c>
      <c r="C99" t="s">
        <v>279</v>
      </c>
      <c r="D99" s="1">
        <v>0.5</v>
      </c>
    </row>
    <row r="100" spans="1:6" x14ac:dyDescent="0.25">
      <c r="A100" t="s">
        <v>280</v>
      </c>
      <c r="B100" t="s">
        <v>281</v>
      </c>
      <c r="C100" t="s">
        <v>161</v>
      </c>
      <c r="D100" s="1">
        <v>0.08</v>
      </c>
    </row>
    <row r="101" spans="1:6" x14ac:dyDescent="0.25">
      <c r="A101" t="s">
        <v>282</v>
      </c>
      <c r="B101" t="s">
        <v>283</v>
      </c>
      <c r="C101" t="s">
        <v>167</v>
      </c>
      <c r="D101" s="1">
        <v>0.02</v>
      </c>
    </row>
    <row r="102" spans="1:6" x14ac:dyDescent="0.25">
      <c r="A102" t="s">
        <v>284</v>
      </c>
      <c r="B102" t="s">
        <v>285</v>
      </c>
      <c r="C102" t="s">
        <v>286</v>
      </c>
      <c r="D102" s="1">
        <v>0.49</v>
      </c>
    </row>
    <row r="103" spans="1:6" x14ac:dyDescent="0.25">
      <c r="A103" t="s">
        <v>287</v>
      </c>
      <c r="B103" t="s">
        <v>288</v>
      </c>
      <c r="C103" t="s">
        <v>67</v>
      </c>
      <c r="D103" s="1">
        <v>0.04</v>
      </c>
    </row>
    <row r="104" spans="1:6" x14ac:dyDescent="0.25">
      <c r="A104" t="s">
        <v>289</v>
      </c>
      <c r="B104" t="s">
        <v>290</v>
      </c>
      <c r="C104" t="s">
        <v>291</v>
      </c>
      <c r="D104" s="1">
        <v>0.49</v>
      </c>
    </row>
    <row r="105" spans="1:6" x14ac:dyDescent="0.25">
      <c r="A105" t="s">
        <v>292</v>
      </c>
      <c r="B105" t="s">
        <v>293</v>
      </c>
      <c r="C105" t="s">
        <v>294</v>
      </c>
      <c r="D105" s="1">
        <v>0.42</v>
      </c>
    </row>
    <row r="106" spans="1:6" x14ac:dyDescent="0.25">
      <c r="A106" t="s">
        <v>295</v>
      </c>
      <c r="B106" t="s">
        <v>296</v>
      </c>
      <c r="C106" t="s">
        <v>297</v>
      </c>
      <c r="D106" s="1">
        <v>0.21</v>
      </c>
      <c r="E106">
        <v>-1</v>
      </c>
      <c r="F106" t="s">
        <v>59</v>
      </c>
    </row>
    <row r="107" spans="1:6" x14ac:dyDescent="0.25">
      <c r="A107" t="s">
        <v>298</v>
      </c>
      <c r="B107" t="s">
        <v>299</v>
      </c>
      <c r="C107" t="s">
        <v>300</v>
      </c>
      <c r="D107" s="1">
        <v>0.41</v>
      </c>
    </row>
    <row r="108" spans="1:6" x14ac:dyDescent="0.25">
      <c r="A108" t="s">
        <v>301</v>
      </c>
      <c r="B108" t="s">
        <v>302</v>
      </c>
      <c r="C108" t="s">
        <v>303</v>
      </c>
      <c r="D108" s="1">
        <v>0.01</v>
      </c>
    </row>
    <row r="109" spans="1:6" x14ac:dyDescent="0.25">
      <c r="A109" t="s">
        <v>304</v>
      </c>
      <c r="B109" t="s">
        <v>305</v>
      </c>
      <c r="C109" t="s">
        <v>306</v>
      </c>
      <c r="D109" s="1">
        <v>0.24</v>
      </c>
    </row>
    <row r="110" spans="1:6" x14ac:dyDescent="0.25">
      <c r="A110" t="s">
        <v>307</v>
      </c>
      <c r="B110" t="s">
        <v>308</v>
      </c>
      <c r="C110" t="s">
        <v>309</v>
      </c>
      <c r="D110" s="1">
        <v>0.34</v>
      </c>
    </row>
    <row r="111" spans="1:6" x14ac:dyDescent="0.25">
      <c r="A111" t="s">
        <v>310</v>
      </c>
      <c r="B111" t="s">
        <v>146</v>
      </c>
      <c r="C111" t="s">
        <v>311</v>
      </c>
      <c r="D111" s="1">
        <v>0.34</v>
      </c>
    </row>
    <row r="112" spans="1:6" x14ac:dyDescent="0.25">
      <c r="A112" t="s">
        <v>312</v>
      </c>
      <c r="B112" t="s">
        <v>313</v>
      </c>
      <c r="C112" t="s">
        <v>162</v>
      </c>
      <c r="D112" s="1">
        <v>0.02</v>
      </c>
    </row>
    <row r="113" spans="1:6" x14ac:dyDescent="0.25">
      <c r="A113" t="s">
        <v>314</v>
      </c>
      <c r="B113" t="s">
        <v>315</v>
      </c>
      <c r="C113" t="s">
        <v>239</v>
      </c>
      <c r="D113" s="1">
        <v>0.02</v>
      </c>
    </row>
    <row r="114" spans="1:6" x14ac:dyDescent="0.25">
      <c r="A114" t="s">
        <v>316</v>
      </c>
      <c r="B114" t="s">
        <v>155</v>
      </c>
      <c r="C114" t="s">
        <v>317</v>
      </c>
      <c r="D114" s="1">
        <v>0.64</v>
      </c>
    </row>
    <row r="115" spans="1:6" x14ac:dyDescent="0.25">
      <c r="A115" t="s">
        <v>318</v>
      </c>
      <c r="B115" t="s">
        <v>242</v>
      </c>
      <c r="C115" t="s">
        <v>172</v>
      </c>
      <c r="D115" s="1">
        <v>0.5</v>
      </c>
      <c r="E115">
        <v>-1</v>
      </c>
      <c r="F115" t="s">
        <v>319</v>
      </c>
    </row>
    <row r="116" spans="1:6" x14ac:dyDescent="0.25">
      <c r="A116" t="s">
        <v>320</v>
      </c>
      <c r="B116" t="s">
        <v>321</v>
      </c>
      <c r="C116" t="s">
        <v>322</v>
      </c>
      <c r="D116" s="1">
        <v>0.47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67EF8-367E-489D-B822-897A7F21D247}">
  <dimension ref="C3:M21"/>
  <sheetViews>
    <sheetView topLeftCell="B9" workbookViewId="0">
      <selection activeCell="C24" sqref="C24"/>
    </sheetView>
  </sheetViews>
  <sheetFormatPr defaultRowHeight="15" x14ac:dyDescent="0.25"/>
  <cols>
    <col min="3" max="3" width="28.28515625" bestFit="1" customWidth="1"/>
    <col min="7" max="7" width="16.85546875" customWidth="1"/>
  </cols>
  <sheetData>
    <row r="3" spans="3:13" ht="17.25" x14ac:dyDescent="0.25">
      <c r="C3" t="s">
        <v>342</v>
      </c>
      <c r="G3" t="s">
        <v>336</v>
      </c>
      <c r="H3" s="5"/>
      <c r="M3" s="5" t="s">
        <v>325</v>
      </c>
    </row>
    <row r="4" spans="3:13" ht="17.25" x14ac:dyDescent="0.25">
      <c r="C4" t="s">
        <v>335</v>
      </c>
      <c r="G4" t="s">
        <v>339</v>
      </c>
      <c r="H4" s="5"/>
      <c r="I4" t="s">
        <v>343</v>
      </c>
      <c r="M4" s="5"/>
    </row>
    <row r="5" spans="3:13" ht="17.25" x14ac:dyDescent="0.25">
      <c r="G5" t="s">
        <v>338</v>
      </c>
      <c r="M5" s="5"/>
    </row>
    <row r="6" spans="3:13" ht="17.25" x14ac:dyDescent="0.25">
      <c r="C6" s="24" t="s">
        <v>328</v>
      </c>
      <c r="D6" s="24"/>
      <c r="G6" t="s">
        <v>337</v>
      </c>
      <c r="M6" s="5"/>
    </row>
    <row r="7" spans="3:13" ht="17.25" x14ac:dyDescent="0.25">
      <c r="C7" s="6" t="s">
        <v>0</v>
      </c>
      <c r="D7" s="6">
        <v>0</v>
      </c>
      <c r="M7" s="5"/>
    </row>
    <row r="8" spans="3:13" ht="17.25" x14ac:dyDescent="0.25">
      <c r="C8" s="6" t="s">
        <v>326</v>
      </c>
      <c r="D8" s="6">
        <v>0</v>
      </c>
      <c r="G8" s="24" t="s">
        <v>340</v>
      </c>
      <c r="H8" s="24"/>
      <c r="M8" s="5"/>
    </row>
    <row r="9" spans="3:13" ht="17.25" x14ac:dyDescent="0.25">
      <c r="C9" s="6" t="s">
        <v>327</v>
      </c>
      <c r="D9" s="6">
        <v>0</v>
      </c>
      <c r="G9" s="6" t="s">
        <v>0</v>
      </c>
      <c r="H9" s="6">
        <v>6</v>
      </c>
      <c r="M9" s="5"/>
    </row>
    <row r="10" spans="3:13" x14ac:dyDescent="0.25">
      <c r="C10" s="6" t="s">
        <v>3</v>
      </c>
      <c r="D10" s="6">
        <v>0</v>
      </c>
      <c r="G10" s="6" t="s">
        <v>326</v>
      </c>
      <c r="H10" s="6">
        <v>12</v>
      </c>
    </row>
    <row r="11" spans="3:13" x14ac:dyDescent="0.25">
      <c r="C11" s="6" t="s">
        <v>4</v>
      </c>
      <c r="D11" s="6">
        <v>58</v>
      </c>
      <c r="G11" s="6" t="s">
        <v>327</v>
      </c>
      <c r="H11" s="6">
        <v>22</v>
      </c>
    </row>
    <row r="12" spans="3:13" x14ac:dyDescent="0.25">
      <c r="C12" s="6" t="s">
        <v>5</v>
      </c>
      <c r="D12" s="6">
        <v>58</v>
      </c>
      <c r="G12" s="6" t="s">
        <v>3</v>
      </c>
      <c r="H12" s="6">
        <v>69</v>
      </c>
    </row>
    <row r="13" spans="3:13" x14ac:dyDescent="0.25">
      <c r="C13" s="7" t="s">
        <v>329</v>
      </c>
      <c r="G13" s="6" t="s">
        <v>4</v>
      </c>
      <c r="H13" s="6">
        <v>91</v>
      </c>
    </row>
    <row r="14" spans="3:13" x14ac:dyDescent="0.25">
      <c r="G14" s="6" t="s">
        <v>5</v>
      </c>
      <c r="H14" s="6">
        <v>92</v>
      </c>
    </row>
    <row r="15" spans="3:13" x14ac:dyDescent="0.25">
      <c r="C15" s="24" t="s">
        <v>330</v>
      </c>
      <c r="D15" s="24"/>
    </row>
    <row r="16" spans="3:13" x14ac:dyDescent="0.25">
      <c r="C16" s="6" t="s">
        <v>331</v>
      </c>
      <c r="D16" s="6"/>
      <c r="G16" s="25" t="s">
        <v>341</v>
      </c>
      <c r="H16" s="26"/>
      <c r="I16" s="27"/>
    </row>
    <row r="17" spans="3:11" x14ac:dyDescent="0.25">
      <c r="C17" s="6" t="s">
        <v>332</v>
      </c>
      <c r="D17" s="6"/>
      <c r="G17" s="6" t="s">
        <v>326</v>
      </c>
      <c r="H17" s="22" t="s">
        <v>126</v>
      </c>
      <c r="I17" s="23"/>
      <c r="K17" t="s">
        <v>344</v>
      </c>
    </row>
    <row r="18" spans="3:11" x14ac:dyDescent="0.25">
      <c r="C18" s="6" t="s">
        <v>333</v>
      </c>
      <c r="D18" s="6"/>
      <c r="G18" s="6" t="s">
        <v>327</v>
      </c>
      <c r="H18" s="22" t="s">
        <v>127</v>
      </c>
      <c r="I18" s="23"/>
    </row>
    <row r="19" spans="3:11" x14ac:dyDescent="0.25">
      <c r="C19" s="6" t="s">
        <v>334</v>
      </c>
      <c r="D19" s="6"/>
    </row>
    <row r="21" spans="3:11" x14ac:dyDescent="0.25">
      <c r="C21" t="s">
        <v>374</v>
      </c>
    </row>
  </sheetData>
  <mergeCells count="6">
    <mergeCell ref="H18:I18"/>
    <mergeCell ref="C6:D6"/>
    <mergeCell ref="C15:D15"/>
    <mergeCell ref="G8:H8"/>
    <mergeCell ref="G16:I16"/>
    <mergeCell ref="H17:I1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E7903-2A25-4FA9-AA16-A913ABBABA14}">
  <dimension ref="A1:F116"/>
  <sheetViews>
    <sheetView workbookViewId="0">
      <pane ySplit="1" topLeftCell="A11" activePane="bottomLeft" state="frozen"/>
      <selection pane="bottomLeft" activeCell="A26" sqref="A26"/>
    </sheetView>
  </sheetViews>
  <sheetFormatPr defaultRowHeight="15" x14ac:dyDescent="0.25"/>
  <cols>
    <col min="1" max="1" width="70.85546875" customWidth="1"/>
    <col min="2" max="3" width="19.42578125" style="11" customWidth="1"/>
    <col min="4" max="4" width="17.42578125" customWidth="1"/>
    <col min="5" max="5" width="8.7109375" customWidth="1"/>
  </cols>
  <sheetData>
    <row r="1" spans="1:6" s="8" customFormat="1" x14ac:dyDescent="0.25">
      <c r="A1" s="8" t="s">
        <v>0</v>
      </c>
      <c r="B1" s="10" t="s">
        <v>326</v>
      </c>
      <c r="C1" s="10" t="s">
        <v>327</v>
      </c>
      <c r="D1" s="8" t="s">
        <v>3</v>
      </c>
      <c r="E1" s="8" t="s">
        <v>4</v>
      </c>
      <c r="F1" s="8" t="s">
        <v>361</v>
      </c>
    </row>
    <row r="2" spans="1:6" x14ac:dyDescent="0.25">
      <c r="A2" t="s">
        <v>345</v>
      </c>
      <c r="B2" s="11">
        <v>950</v>
      </c>
      <c r="C2" s="11">
        <v>1525</v>
      </c>
      <c r="D2" s="1">
        <v>0.38</v>
      </c>
      <c r="E2">
        <v>2</v>
      </c>
      <c r="F2">
        <v>4.5</v>
      </c>
    </row>
    <row r="3" spans="1:6" x14ac:dyDescent="0.25">
      <c r="A3" t="s">
        <v>10</v>
      </c>
      <c r="B3" s="11">
        <v>527</v>
      </c>
      <c r="C3" s="11">
        <v>999</v>
      </c>
      <c r="D3" s="1">
        <v>0.47</v>
      </c>
      <c r="E3">
        <v>14</v>
      </c>
      <c r="F3">
        <v>4.0999999999999996</v>
      </c>
    </row>
    <row r="4" spans="1:6" x14ac:dyDescent="0.25">
      <c r="A4" t="s">
        <v>14</v>
      </c>
      <c r="B4" s="11">
        <v>2199</v>
      </c>
      <c r="C4" s="11">
        <v>2923</v>
      </c>
      <c r="D4" s="1">
        <v>0.25</v>
      </c>
      <c r="E4">
        <v>24</v>
      </c>
      <c r="F4">
        <v>4.5999999999999996</v>
      </c>
    </row>
    <row r="5" spans="1:6" x14ac:dyDescent="0.25">
      <c r="A5" t="s">
        <v>18</v>
      </c>
      <c r="B5" s="11">
        <v>1580</v>
      </c>
      <c r="C5" s="11">
        <v>2499</v>
      </c>
      <c r="D5" s="1">
        <v>0.37</v>
      </c>
      <c r="E5">
        <v>7</v>
      </c>
      <c r="F5">
        <v>4.7</v>
      </c>
    </row>
    <row r="6" spans="1:6" x14ac:dyDescent="0.25">
      <c r="A6" t="s">
        <v>22</v>
      </c>
      <c r="B6" s="11">
        <v>1740</v>
      </c>
      <c r="C6" s="11">
        <v>2356</v>
      </c>
      <c r="D6" s="1">
        <v>0.26</v>
      </c>
      <c r="E6">
        <v>5</v>
      </c>
      <c r="F6">
        <v>4.8</v>
      </c>
    </row>
    <row r="7" spans="1:6" x14ac:dyDescent="0.25">
      <c r="A7" t="s">
        <v>26</v>
      </c>
      <c r="B7" s="11">
        <v>2999</v>
      </c>
      <c r="C7" s="11">
        <v>3290</v>
      </c>
      <c r="D7" s="1">
        <v>0.09</v>
      </c>
      <c r="E7">
        <v>15</v>
      </c>
      <c r="F7">
        <v>4</v>
      </c>
    </row>
    <row r="8" spans="1:6" x14ac:dyDescent="0.25">
      <c r="A8" t="s">
        <v>30</v>
      </c>
      <c r="B8" s="11">
        <v>2319</v>
      </c>
      <c r="C8" s="11">
        <v>3032</v>
      </c>
      <c r="D8" s="1">
        <v>0.24</v>
      </c>
      <c r="E8">
        <v>55</v>
      </c>
      <c r="F8">
        <v>4.5999999999999996</v>
      </c>
    </row>
    <row r="9" spans="1:6" x14ac:dyDescent="0.25">
      <c r="A9" t="s">
        <v>33</v>
      </c>
      <c r="B9" s="11">
        <v>988</v>
      </c>
      <c r="C9" s="11">
        <v>1580</v>
      </c>
      <c r="D9" s="1">
        <v>0.37</v>
      </c>
      <c r="E9">
        <v>2</v>
      </c>
      <c r="F9">
        <v>4</v>
      </c>
    </row>
    <row r="10" spans="1:6" x14ac:dyDescent="0.25">
      <c r="A10" t="s">
        <v>35</v>
      </c>
      <c r="B10" s="11">
        <v>1274</v>
      </c>
      <c r="C10" s="11">
        <v>2800</v>
      </c>
      <c r="D10" s="1">
        <v>0.55000000000000004</v>
      </c>
      <c r="E10">
        <v>5</v>
      </c>
      <c r="F10">
        <v>4.8</v>
      </c>
    </row>
    <row r="11" spans="1:6" x14ac:dyDescent="0.25">
      <c r="A11" t="s">
        <v>38</v>
      </c>
      <c r="B11" s="11">
        <v>1600</v>
      </c>
      <c r="C11" s="11">
        <v>2929</v>
      </c>
      <c r="D11" s="1">
        <v>0.45</v>
      </c>
      <c r="E11">
        <v>5</v>
      </c>
      <c r="F11">
        <v>3.8</v>
      </c>
    </row>
    <row r="12" spans="1:6" x14ac:dyDescent="0.25">
      <c r="A12" t="s">
        <v>42</v>
      </c>
      <c r="B12" s="11">
        <v>799</v>
      </c>
      <c r="C12" s="11">
        <v>999</v>
      </c>
      <c r="D12" s="1">
        <v>0.2</v>
      </c>
      <c r="E12">
        <v>12</v>
      </c>
      <c r="F12">
        <v>4.0999999999999996</v>
      </c>
    </row>
    <row r="13" spans="1:6" x14ac:dyDescent="0.25">
      <c r="A13" t="s">
        <v>44</v>
      </c>
      <c r="B13" s="11">
        <v>990</v>
      </c>
      <c r="C13" s="11">
        <v>1500</v>
      </c>
      <c r="D13" s="1">
        <v>0.34</v>
      </c>
      <c r="E13">
        <v>39</v>
      </c>
      <c r="F13">
        <v>4.7</v>
      </c>
    </row>
    <row r="14" spans="1:6" x14ac:dyDescent="0.25">
      <c r="A14" t="s">
        <v>47</v>
      </c>
      <c r="B14" s="11">
        <v>552</v>
      </c>
      <c r="C14" s="11">
        <v>1035</v>
      </c>
      <c r="D14" s="1">
        <v>0.47</v>
      </c>
      <c r="E14">
        <v>12</v>
      </c>
      <c r="F14">
        <v>4.8</v>
      </c>
    </row>
    <row r="15" spans="1:6" x14ac:dyDescent="0.25">
      <c r="A15" t="s">
        <v>50</v>
      </c>
      <c r="B15" s="11">
        <v>501</v>
      </c>
      <c r="C15" s="11">
        <v>860</v>
      </c>
      <c r="D15" s="1">
        <v>0.42</v>
      </c>
      <c r="E15">
        <v>6</v>
      </c>
      <c r="F15">
        <v>4.5</v>
      </c>
    </row>
    <row r="16" spans="1:6" x14ac:dyDescent="0.25">
      <c r="A16" t="s">
        <v>53</v>
      </c>
      <c r="B16" s="11">
        <v>1680</v>
      </c>
      <c r="C16" s="11">
        <v>2499</v>
      </c>
      <c r="D16" s="1">
        <v>0.33</v>
      </c>
      <c r="E16">
        <v>9</v>
      </c>
      <c r="F16">
        <v>4.2</v>
      </c>
    </row>
    <row r="17" spans="1:6" x14ac:dyDescent="0.25">
      <c r="A17" t="s">
        <v>346</v>
      </c>
      <c r="B17" s="11">
        <v>332</v>
      </c>
      <c r="C17" s="11">
        <v>684</v>
      </c>
      <c r="D17" s="1">
        <v>0.51</v>
      </c>
      <c r="E17">
        <v>2</v>
      </c>
      <c r="F17">
        <v>5</v>
      </c>
    </row>
    <row r="18" spans="1:6" x14ac:dyDescent="0.25">
      <c r="A18" t="s">
        <v>347</v>
      </c>
      <c r="B18" s="11">
        <v>195</v>
      </c>
      <c r="C18" s="11">
        <v>360</v>
      </c>
      <c r="D18" s="1">
        <v>0.46</v>
      </c>
      <c r="E18">
        <v>2</v>
      </c>
      <c r="F18">
        <v>5</v>
      </c>
    </row>
    <row r="19" spans="1:6" x14ac:dyDescent="0.25">
      <c r="A19" t="s">
        <v>63</v>
      </c>
      <c r="B19" s="11">
        <v>2025</v>
      </c>
      <c r="C19" s="11">
        <v>3971</v>
      </c>
      <c r="D19" s="1">
        <v>0.49</v>
      </c>
      <c r="E19">
        <v>3</v>
      </c>
      <c r="F19">
        <v>5</v>
      </c>
    </row>
    <row r="20" spans="1:6" x14ac:dyDescent="0.25">
      <c r="A20" t="s">
        <v>66</v>
      </c>
      <c r="B20" s="11">
        <v>2999</v>
      </c>
      <c r="C20" s="11">
        <v>3699</v>
      </c>
      <c r="D20" s="1">
        <v>0.19</v>
      </c>
      <c r="E20">
        <v>5</v>
      </c>
      <c r="F20">
        <v>4.5999999999999996</v>
      </c>
    </row>
    <row r="21" spans="1:6" x14ac:dyDescent="0.25">
      <c r="A21" t="s">
        <v>68</v>
      </c>
      <c r="B21" s="11">
        <v>998</v>
      </c>
      <c r="C21" s="11">
        <v>1966</v>
      </c>
      <c r="D21" s="1">
        <v>0.49</v>
      </c>
      <c r="E21">
        <v>44</v>
      </c>
      <c r="F21">
        <v>4.5999999999999996</v>
      </c>
    </row>
    <row r="22" spans="1:6" x14ac:dyDescent="0.25">
      <c r="A22" t="s">
        <v>71</v>
      </c>
      <c r="B22" s="11">
        <v>38</v>
      </c>
      <c r="C22" s="11">
        <v>80</v>
      </c>
      <c r="D22" s="1">
        <v>0.53</v>
      </c>
      <c r="E22">
        <v>13</v>
      </c>
      <c r="F22">
        <v>3.3</v>
      </c>
    </row>
    <row r="23" spans="1:6" x14ac:dyDescent="0.25">
      <c r="A23" t="s">
        <v>75</v>
      </c>
      <c r="B23" s="11">
        <v>1860</v>
      </c>
      <c r="C23" s="11">
        <v>3220</v>
      </c>
      <c r="D23" s="1">
        <v>0.42</v>
      </c>
      <c r="E23" t="s">
        <v>358</v>
      </c>
      <c r="F23" t="s">
        <v>358</v>
      </c>
    </row>
    <row r="24" spans="1:6" x14ac:dyDescent="0.25">
      <c r="A24" t="s">
        <v>78</v>
      </c>
      <c r="B24" s="11">
        <v>880</v>
      </c>
      <c r="C24" s="11">
        <v>1350</v>
      </c>
      <c r="D24" s="1">
        <v>0.35</v>
      </c>
      <c r="E24">
        <v>6</v>
      </c>
      <c r="F24">
        <v>4</v>
      </c>
    </row>
    <row r="25" spans="1:6" x14ac:dyDescent="0.25">
      <c r="A25" t="s">
        <v>81</v>
      </c>
      <c r="B25" s="11">
        <v>1650</v>
      </c>
      <c r="C25" s="11">
        <v>2150</v>
      </c>
      <c r="D25" s="1">
        <v>0.23</v>
      </c>
      <c r="E25">
        <v>14</v>
      </c>
      <c r="F25">
        <v>4.4000000000000004</v>
      </c>
    </row>
    <row r="26" spans="1:6" x14ac:dyDescent="0.25">
      <c r="A26" t="s">
        <v>85</v>
      </c>
      <c r="B26" s="11">
        <v>2048</v>
      </c>
      <c r="C26" s="11">
        <v>4500</v>
      </c>
      <c r="D26" s="1">
        <v>0.54</v>
      </c>
      <c r="E26">
        <v>7</v>
      </c>
      <c r="F26">
        <v>4.3</v>
      </c>
    </row>
    <row r="27" spans="1:6" x14ac:dyDescent="0.25">
      <c r="A27" t="s">
        <v>89</v>
      </c>
      <c r="B27" s="11">
        <v>420</v>
      </c>
      <c r="C27" s="11">
        <v>647</v>
      </c>
      <c r="D27" s="1">
        <v>0.35</v>
      </c>
      <c r="E27">
        <v>49</v>
      </c>
      <c r="F27">
        <v>4.5999999999999996</v>
      </c>
    </row>
    <row r="28" spans="1:6" x14ac:dyDescent="0.25">
      <c r="A28" t="s">
        <v>92</v>
      </c>
      <c r="B28" s="11">
        <v>2880</v>
      </c>
      <c r="C28" s="11">
        <v>3520</v>
      </c>
      <c r="D28" s="1">
        <v>0.18</v>
      </c>
      <c r="E28">
        <v>12</v>
      </c>
      <c r="F28">
        <v>3.8</v>
      </c>
    </row>
    <row r="29" spans="1:6" x14ac:dyDescent="0.25">
      <c r="A29" t="s">
        <v>95</v>
      </c>
      <c r="B29" s="11">
        <v>1350</v>
      </c>
      <c r="C29" s="11">
        <v>1990</v>
      </c>
      <c r="D29" s="1">
        <v>0.32</v>
      </c>
      <c r="E29">
        <v>13</v>
      </c>
      <c r="F29">
        <v>3.8</v>
      </c>
    </row>
    <row r="30" spans="1:6" x14ac:dyDescent="0.25">
      <c r="A30" t="s">
        <v>97</v>
      </c>
      <c r="B30" s="11">
        <v>1758</v>
      </c>
      <c r="C30" s="11">
        <v>2499</v>
      </c>
      <c r="D30" s="1">
        <v>0.3</v>
      </c>
      <c r="E30">
        <v>20</v>
      </c>
      <c r="F30">
        <v>4.0999999999999996</v>
      </c>
    </row>
    <row r="31" spans="1:6" x14ac:dyDescent="0.25">
      <c r="A31" t="s">
        <v>99</v>
      </c>
      <c r="B31" s="11">
        <v>2200</v>
      </c>
      <c r="C31" s="11">
        <v>4080</v>
      </c>
      <c r="D31" s="1">
        <v>0.46</v>
      </c>
      <c r="E31" t="s">
        <v>358</v>
      </c>
      <c r="F31" t="s">
        <v>358</v>
      </c>
    </row>
    <row r="32" spans="1:6" x14ac:dyDescent="0.25">
      <c r="A32" t="s">
        <v>102</v>
      </c>
      <c r="B32" s="11">
        <v>185</v>
      </c>
      <c r="C32" s="11">
        <v>382</v>
      </c>
      <c r="D32" s="1">
        <v>0.52</v>
      </c>
      <c r="E32">
        <v>9</v>
      </c>
      <c r="F32">
        <v>4.3</v>
      </c>
    </row>
    <row r="33" spans="1:6" x14ac:dyDescent="0.25">
      <c r="A33" t="s">
        <v>105</v>
      </c>
      <c r="B33" s="11">
        <v>980</v>
      </c>
      <c r="C33" s="11">
        <v>1490</v>
      </c>
      <c r="D33" s="1">
        <v>0.34</v>
      </c>
      <c r="E33">
        <v>12</v>
      </c>
      <c r="F33">
        <v>4.7</v>
      </c>
    </row>
    <row r="34" spans="1:6" x14ac:dyDescent="0.25">
      <c r="A34" t="s">
        <v>348</v>
      </c>
      <c r="B34" s="11">
        <v>1820</v>
      </c>
      <c r="C34" s="11">
        <v>3490</v>
      </c>
      <c r="D34" s="1">
        <v>0.48</v>
      </c>
      <c r="E34">
        <v>9</v>
      </c>
      <c r="F34">
        <v>4.3</v>
      </c>
    </row>
    <row r="35" spans="1:6" x14ac:dyDescent="0.25">
      <c r="A35" t="s">
        <v>111</v>
      </c>
      <c r="B35" s="11">
        <v>1940</v>
      </c>
      <c r="C35" s="11">
        <v>2650</v>
      </c>
      <c r="D35" s="1">
        <v>0.27</v>
      </c>
      <c r="E35">
        <v>20</v>
      </c>
      <c r="F35">
        <v>4.7</v>
      </c>
    </row>
    <row r="36" spans="1:6" x14ac:dyDescent="0.25">
      <c r="A36" t="s">
        <v>114</v>
      </c>
      <c r="B36" s="11">
        <v>1980</v>
      </c>
      <c r="C36" s="11">
        <v>2699</v>
      </c>
      <c r="D36" s="1">
        <v>0.27</v>
      </c>
      <c r="E36">
        <v>32</v>
      </c>
      <c r="F36">
        <v>4.5</v>
      </c>
    </row>
    <row r="37" spans="1:6" x14ac:dyDescent="0.25">
      <c r="A37" t="s">
        <v>117</v>
      </c>
      <c r="B37" s="11">
        <v>1620</v>
      </c>
      <c r="C37" s="11">
        <v>2690</v>
      </c>
      <c r="D37" s="1">
        <v>0.4</v>
      </c>
      <c r="E37">
        <v>1</v>
      </c>
      <c r="F37">
        <v>5</v>
      </c>
    </row>
    <row r="38" spans="1:6" x14ac:dyDescent="0.25">
      <c r="A38" t="s">
        <v>120</v>
      </c>
      <c r="B38" s="11">
        <v>171</v>
      </c>
      <c r="C38" s="11">
        <v>360</v>
      </c>
      <c r="D38" s="1">
        <v>0.53</v>
      </c>
      <c r="E38">
        <v>2</v>
      </c>
      <c r="F38">
        <v>5</v>
      </c>
    </row>
    <row r="39" spans="1:6" x14ac:dyDescent="0.25">
      <c r="A39" t="s">
        <v>122</v>
      </c>
      <c r="B39" s="11">
        <v>389</v>
      </c>
      <c r="C39" s="11">
        <v>656</v>
      </c>
      <c r="D39" s="1">
        <v>0.41</v>
      </c>
      <c r="E39">
        <v>36</v>
      </c>
      <c r="F39">
        <v>4.3</v>
      </c>
    </row>
    <row r="40" spans="1:6" x14ac:dyDescent="0.25">
      <c r="A40" t="s">
        <v>125</v>
      </c>
      <c r="B40" s="11">
        <v>1800</v>
      </c>
      <c r="C40" s="11">
        <v>2700</v>
      </c>
      <c r="D40" s="1">
        <v>0.38</v>
      </c>
      <c r="E40">
        <v>2</v>
      </c>
      <c r="F40">
        <v>4.5</v>
      </c>
    </row>
    <row r="41" spans="1:6" x14ac:dyDescent="0.25">
      <c r="A41" t="s">
        <v>128</v>
      </c>
      <c r="B41" s="11">
        <v>2750</v>
      </c>
      <c r="C41" s="11">
        <v>4471</v>
      </c>
      <c r="D41" s="1">
        <v>0.38</v>
      </c>
      <c r="E41" t="s">
        <v>358</v>
      </c>
      <c r="F41" t="s">
        <v>358</v>
      </c>
    </row>
    <row r="42" spans="1:6" x14ac:dyDescent="0.25">
      <c r="A42" t="s">
        <v>131</v>
      </c>
      <c r="B42" s="11">
        <v>475</v>
      </c>
      <c r="C42" s="11">
        <v>931</v>
      </c>
      <c r="D42" s="1">
        <v>0.49</v>
      </c>
      <c r="E42" t="s">
        <v>358</v>
      </c>
      <c r="F42" t="s">
        <v>358</v>
      </c>
    </row>
    <row r="43" spans="1:6" x14ac:dyDescent="0.25">
      <c r="A43" t="s">
        <v>134</v>
      </c>
      <c r="B43" s="11">
        <v>238</v>
      </c>
      <c r="C43" s="11">
        <v>476</v>
      </c>
      <c r="D43" s="1">
        <v>0.5</v>
      </c>
      <c r="E43" t="s">
        <v>358</v>
      </c>
      <c r="F43" t="s">
        <v>358</v>
      </c>
    </row>
    <row r="44" spans="1:6" x14ac:dyDescent="0.25">
      <c r="A44" t="s">
        <v>137</v>
      </c>
      <c r="B44" s="11">
        <v>610</v>
      </c>
      <c r="C44" s="11">
        <v>1060</v>
      </c>
      <c r="D44" s="1">
        <v>0.42</v>
      </c>
      <c r="E44" t="s">
        <v>358</v>
      </c>
      <c r="F44" t="s">
        <v>358</v>
      </c>
    </row>
    <row r="45" spans="1:6" x14ac:dyDescent="0.25">
      <c r="A45" t="s">
        <v>140</v>
      </c>
      <c r="B45" s="11">
        <v>2132</v>
      </c>
      <c r="C45" s="11">
        <v>2169</v>
      </c>
      <c r="D45" s="1">
        <v>0.02</v>
      </c>
      <c r="E45" t="s">
        <v>358</v>
      </c>
      <c r="F45" t="s">
        <v>358</v>
      </c>
    </row>
    <row r="46" spans="1:6" x14ac:dyDescent="0.25">
      <c r="A46" t="s">
        <v>143</v>
      </c>
      <c r="B46" s="11">
        <v>999</v>
      </c>
      <c r="C46" s="11">
        <v>2000</v>
      </c>
      <c r="D46" s="1">
        <v>0.5</v>
      </c>
      <c r="E46" t="s">
        <v>358</v>
      </c>
      <c r="F46" t="s">
        <v>358</v>
      </c>
    </row>
    <row r="47" spans="1:6" x14ac:dyDescent="0.25">
      <c r="A47" t="s">
        <v>145</v>
      </c>
      <c r="B47" s="11">
        <v>1190</v>
      </c>
      <c r="C47" s="11">
        <v>1785</v>
      </c>
      <c r="D47" s="1">
        <v>0.33</v>
      </c>
      <c r="E47" t="s">
        <v>358</v>
      </c>
      <c r="F47" t="s">
        <v>358</v>
      </c>
    </row>
    <row r="48" spans="1:6" x14ac:dyDescent="0.25">
      <c r="A48" t="s">
        <v>148</v>
      </c>
      <c r="B48" s="11">
        <v>671</v>
      </c>
      <c r="C48" s="11">
        <v>1316</v>
      </c>
      <c r="D48" s="1">
        <v>0.49</v>
      </c>
      <c r="E48" t="s">
        <v>358</v>
      </c>
      <c r="F48" t="s">
        <v>358</v>
      </c>
    </row>
    <row r="49" spans="1:6" x14ac:dyDescent="0.25">
      <c r="A49" t="s">
        <v>151</v>
      </c>
      <c r="B49" s="11">
        <v>1200</v>
      </c>
      <c r="C49" s="11">
        <v>1950</v>
      </c>
      <c r="D49" s="1">
        <v>0.38</v>
      </c>
      <c r="E49" t="s">
        <v>358</v>
      </c>
      <c r="F49" t="s">
        <v>358</v>
      </c>
    </row>
    <row r="50" spans="1:6" x14ac:dyDescent="0.25">
      <c r="A50" t="s">
        <v>154</v>
      </c>
      <c r="B50" s="11">
        <v>199</v>
      </c>
      <c r="C50" s="11">
        <v>504</v>
      </c>
      <c r="D50" s="1">
        <v>0.61</v>
      </c>
      <c r="E50" t="s">
        <v>358</v>
      </c>
      <c r="F50" t="s">
        <v>358</v>
      </c>
    </row>
    <row r="51" spans="1:6" x14ac:dyDescent="0.25">
      <c r="A51" t="s">
        <v>157</v>
      </c>
      <c r="B51" s="11">
        <v>299</v>
      </c>
      <c r="C51" s="11">
        <v>600</v>
      </c>
      <c r="D51" s="1">
        <v>0.5</v>
      </c>
      <c r="E51" t="s">
        <v>358</v>
      </c>
      <c r="F51" t="s">
        <v>358</v>
      </c>
    </row>
    <row r="52" spans="1:6" x14ac:dyDescent="0.25">
      <c r="A52" t="s">
        <v>160</v>
      </c>
      <c r="B52" s="11">
        <v>1660</v>
      </c>
      <c r="C52" s="11">
        <v>1699</v>
      </c>
      <c r="D52" s="1">
        <v>0.02</v>
      </c>
      <c r="E52" t="s">
        <v>358</v>
      </c>
      <c r="F52" t="s">
        <v>358</v>
      </c>
    </row>
    <row r="53" spans="1:6" x14ac:dyDescent="0.25">
      <c r="A53" t="s">
        <v>163</v>
      </c>
      <c r="B53" s="11">
        <v>299</v>
      </c>
      <c r="C53" s="11">
        <v>384</v>
      </c>
      <c r="D53" s="1">
        <v>0.22</v>
      </c>
      <c r="E53" t="s">
        <v>358</v>
      </c>
      <c r="F53" t="s">
        <v>358</v>
      </c>
    </row>
    <row r="54" spans="1:6" x14ac:dyDescent="0.25">
      <c r="A54" t="s">
        <v>165</v>
      </c>
      <c r="B54" s="11">
        <v>1459</v>
      </c>
      <c r="C54" s="11">
        <v>1499</v>
      </c>
      <c r="D54" s="1">
        <v>0.03</v>
      </c>
      <c r="E54" t="s">
        <v>358</v>
      </c>
      <c r="F54" t="s">
        <v>358</v>
      </c>
    </row>
    <row r="55" spans="1:6" x14ac:dyDescent="0.25">
      <c r="A55" t="s">
        <v>168</v>
      </c>
      <c r="B55" s="11">
        <v>799</v>
      </c>
      <c r="C55" s="11">
        <v>1343</v>
      </c>
      <c r="D55" s="1">
        <v>0.41</v>
      </c>
      <c r="E55" t="s">
        <v>358</v>
      </c>
      <c r="F55" t="s">
        <v>358</v>
      </c>
    </row>
    <row r="56" spans="1:6" x14ac:dyDescent="0.25">
      <c r="A56" t="s">
        <v>170</v>
      </c>
      <c r="B56" s="11">
        <v>499</v>
      </c>
      <c r="C56" s="11">
        <v>900</v>
      </c>
      <c r="D56" s="1">
        <v>0.45</v>
      </c>
      <c r="E56" t="s">
        <v>358</v>
      </c>
      <c r="F56" t="s">
        <v>358</v>
      </c>
    </row>
    <row r="57" spans="1:6" x14ac:dyDescent="0.25">
      <c r="A57" t="s">
        <v>173</v>
      </c>
      <c r="B57" s="11">
        <v>699</v>
      </c>
      <c r="C57" s="11">
        <v>1343</v>
      </c>
      <c r="D57" s="1">
        <v>0.48</v>
      </c>
      <c r="E57" t="s">
        <v>358</v>
      </c>
      <c r="F57" t="s">
        <v>358</v>
      </c>
    </row>
    <row r="58" spans="1:6" x14ac:dyDescent="0.25">
      <c r="A58" t="s">
        <v>175</v>
      </c>
      <c r="B58" s="11">
        <v>799</v>
      </c>
      <c r="C58" s="11">
        <v>1567</v>
      </c>
      <c r="D58" s="1">
        <v>0.49</v>
      </c>
      <c r="E58" t="s">
        <v>358</v>
      </c>
      <c r="F58" t="s">
        <v>358</v>
      </c>
    </row>
    <row r="59" spans="1:6" x14ac:dyDescent="0.25">
      <c r="A59" t="s">
        <v>177</v>
      </c>
      <c r="B59" s="11">
        <v>2799</v>
      </c>
      <c r="C59" s="11">
        <v>3810</v>
      </c>
      <c r="D59" s="1">
        <v>0.27</v>
      </c>
      <c r="E59" t="s">
        <v>358</v>
      </c>
      <c r="F59" t="s">
        <v>358</v>
      </c>
    </row>
    <row r="60" spans="1:6" x14ac:dyDescent="0.25">
      <c r="A60" t="s">
        <v>170</v>
      </c>
      <c r="B60" s="11">
        <v>399</v>
      </c>
      <c r="C60" s="11">
        <v>896</v>
      </c>
      <c r="D60" s="1">
        <v>0.55000000000000004</v>
      </c>
      <c r="E60" t="s">
        <v>358</v>
      </c>
      <c r="F60" t="s">
        <v>358</v>
      </c>
    </row>
    <row r="61" spans="1:6" x14ac:dyDescent="0.25">
      <c r="A61" t="s">
        <v>182</v>
      </c>
      <c r="B61" s="11">
        <v>2170</v>
      </c>
      <c r="C61" s="11">
        <v>2500</v>
      </c>
      <c r="D61" s="1">
        <v>0.13</v>
      </c>
      <c r="E61">
        <v>6</v>
      </c>
      <c r="F61">
        <v>2.5</v>
      </c>
    </row>
    <row r="62" spans="1:6" x14ac:dyDescent="0.25">
      <c r="A62" t="s">
        <v>186</v>
      </c>
      <c r="B62" s="11">
        <v>458</v>
      </c>
      <c r="C62" s="11">
        <v>986</v>
      </c>
      <c r="D62" s="1">
        <v>0.54</v>
      </c>
      <c r="E62">
        <v>10</v>
      </c>
      <c r="F62">
        <v>3</v>
      </c>
    </row>
    <row r="63" spans="1:6" x14ac:dyDescent="0.25">
      <c r="A63" t="s">
        <v>190</v>
      </c>
      <c r="B63" s="11">
        <v>2115</v>
      </c>
      <c r="C63" s="11">
        <v>4700</v>
      </c>
      <c r="D63" s="1">
        <v>0.55000000000000004</v>
      </c>
      <c r="E63">
        <v>13</v>
      </c>
      <c r="F63">
        <v>2.1</v>
      </c>
    </row>
    <row r="64" spans="1:6" x14ac:dyDescent="0.25">
      <c r="A64" t="s">
        <v>194</v>
      </c>
      <c r="B64" s="11">
        <v>445</v>
      </c>
      <c r="C64" s="11">
        <v>873</v>
      </c>
      <c r="D64" s="1">
        <v>0.49</v>
      </c>
      <c r="E64">
        <v>69</v>
      </c>
      <c r="F64">
        <v>2.8</v>
      </c>
    </row>
    <row r="65" spans="1:6" x14ac:dyDescent="0.25">
      <c r="A65" t="s">
        <v>349</v>
      </c>
      <c r="B65" s="11">
        <v>325</v>
      </c>
      <c r="C65" s="11">
        <v>680</v>
      </c>
      <c r="D65" s="1">
        <v>0.52</v>
      </c>
      <c r="E65">
        <v>15</v>
      </c>
      <c r="F65">
        <v>2.7</v>
      </c>
    </row>
    <row r="66" spans="1:6" x14ac:dyDescent="0.25">
      <c r="A66" t="s">
        <v>202</v>
      </c>
      <c r="B66" s="11">
        <v>1220</v>
      </c>
      <c r="C66" s="11">
        <v>1555</v>
      </c>
      <c r="D66" s="1">
        <v>0.22</v>
      </c>
      <c r="E66">
        <v>16</v>
      </c>
      <c r="F66">
        <v>2.9</v>
      </c>
    </row>
    <row r="67" spans="1:6" x14ac:dyDescent="0.25">
      <c r="A67" t="s">
        <v>206</v>
      </c>
      <c r="B67" s="11">
        <v>990</v>
      </c>
      <c r="C67" s="11">
        <v>1814</v>
      </c>
      <c r="D67" s="1">
        <v>0.45</v>
      </c>
      <c r="E67">
        <v>6</v>
      </c>
      <c r="F67">
        <v>2.2000000000000002</v>
      </c>
    </row>
    <row r="68" spans="1:6" x14ac:dyDescent="0.25">
      <c r="A68" t="s">
        <v>209</v>
      </c>
      <c r="B68" s="11">
        <v>1000</v>
      </c>
      <c r="C68" s="11">
        <v>2000</v>
      </c>
      <c r="D68" s="1">
        <v>0.5</v>
      </c>
      <c r="E68">
        <v>7</v>
      </c>
      <c r="F68">
        <v>2.2999999999999998</v>
      </c>
    </row>
    <row r="69" spans="1:6" x14ac:dyDescent="0.25">
      <c r="A69" t="s">
        <v>212</v>
      </c>
      <c r="B69" s="11">
        <v>3750</v>
      </c>
      <c r="C69" s="11">
        <v>6143</v>
      </c>
      <c r="D69" s="1">
        <v>0.39</v>
      </c>
      <c r="E69">
        <v>5</v>
      </c>
      <c r="F69">
        <v>3</v>
      </c>
    </row>
    <row r="70" spans="1:6" x14ac:dyDescent="0.25">
      <c r="A70" t="s">
        <v>215</v>
      </c>
      <c r="B70" s="11">
        <v>382</v>
      </c>
      <c r="C70" s="11">
        <v>700</v>
      </c>
      <c r="D70" s="1">
        <v>0.45</v>
      </c>
      <c r="E70">
        <v>17</v>
      </c>
      <c r="F70">
        <v>2.6</v>
      </c>
    </row>
    <row r="71" spans="1:6" x14ac:dyDescent="0.25">
      <c r="A71" t="s">
        <v>218</v>
      </c>
      <c r="B71" s="11">
        <v>2300</v>
      </c>
      <c r="C71" s="11">
        <v>3240</v>
      </c>
      <c r="D71" s="1">
        <v>0.28999999999999998</v>
      </c>
      <c r="E71">
        <v>5</v>
      </c>
      <c r="F71">
        <v>3</v>
      </c>
    </row>
    <row r="72" spans="1:6" x14ac:dyDescent="0.25">
      <c r="A72" t="s">
        <v>221</v>
      </c>
      <c r="B72" s="11">
        <v>345</v>
      </c>
      <c r="C72" s="11">
        <v>602</v>
      </c>
      <c r="D72" s="1">
        <v>0.43</v>
      </c>
      <c r="E72">
        <v>6</v>
      </c>
      <c r="F72">
        <v>2.2999999999999998</v>
      </c>
    </row>
    <row r="73" spans="1:6" x14ac:dyDescent="0.25">
      <c r="A73" t="s">
        <v>224</v>
      </c>
      <c r="B73" s="11">
        <v>509</v>
      </c>
      <c r="C73" s="11">
        <v>899</v>
      </c>
      <c r="D73" s="1">
        <v>0.43</v>
      </c>
      <c r="E73">
        <v>5</v>
      </c>
      <c r="F73">
        <v>3</v>
      </c>
    </row>
    <row r="74" spans="1:6" x14ac:dyDescent="0.25">
      <c r="A74" t="s">
        <v>227</v>
      </c>
      <c r="B74" s="11">
        <v>968</v>
      </c>
      <c r="C74" s="11">
        <v>1814</v>
      </c>
      <c r="D74" s="1">
        <v>0.47</v>
      </c>
      <c r="E74">
        <v>6</v>
      </c>
      <c r="F74">
        <v>2.2000000000000002</v>
      </c>
    </row>
    <row r="75" spans="1:6" x14ac:dyDescent="0.25">
      <c r="A75" t="s">
        <v>229</v>
      </c>
      <c r="B75" s="11">
        <v>1570</v>
      </c>
      <c r="C75" s="11">
        <v>2988</v>
      </c>
      <c r="D75" s="1">
        <v>0.47</v>
      </c>
      <c r="E75">
        <v>7</v>
      </c>
      <c r="F75">
        <v>2.1</v>
      </c>
    </row>
    <row r="76" spans="1:6" x14ac:dyDescent="0.25">
      <c r="A76" t="s">
        <v>232</v>
      </c>
      <c r="B76" s="11">
        <v>790</v>
      </c>
      <c r="C76" s="11">
        <v>1485</v>
      </c>
      <c r="D76" s="1">
        <v>0.47</v>
      </c>
      <c r="E76" t="s">
        <v>358</v>
      </c>
      <c r="F76" t="s">
        <v>358</v>
      </c>
    </row>
    <row r="77" spans="1:6" x14ac:dyDescent="0.25">
      <c r="A77" t="s">
        <v>235</v>
      </c>
      <c r="B77" s="11">
        <v>690</v>
      </c>
      <c r="C77" s="11">
        <v>1200</v>
      </c>
      <c r="D77" s="1">
        <v>0.43</v>
      </c>
      <c r="E77" t="s">
        <v>358</v>
      </c>
      <c r="F77" t="s">
        <v>358</v>
      </c>
    </row>
    <row r="78" spans="1:6" x14ac:dyDescent="0.25">
      <c r="A78" t="s">
        <v>237</v>
      </c>
      <c r="B78" s="11">
        <v>1732</v>
      </c>
      <c r="C78" s="11">
        <v>1799</v>
      </c>
      <c r="D78" s="1">
        <v>0.04</v>
      </c>
      <c r="E78" t="s">
        <v>358</v>
      </c>
      <c r="F78" t="s">
        <v>358</v>
      </c>
    </row>
    <row r="79" spans="1:6" x14ac:dyDescent="0.25">
      <c r="A79" t="s">
        <v>240</v>
      </c>
      <c r="B79" s="11">
        <v>230</v>
      </c>
      <c r="C79" s="11">
        <v>450</v>
      </c>
      <c r="D79" s="1">
        <v>0.49</v>
      </c>
      <c r="E79" t="s">
        <v>358</v>
      </c>
      <c r="F79" t="s">
        <v>358</v>
      </c>
    </row>
    <row r="80" spans="1:6" x14ac:dyDescent="0.25">
      <c r="A80" t="s">
        <v>243</v>
      </c>
      <c r="B80" s="11">
        <v>1189</v>
      </c>
      <c r="C80" s="11">
        <v>2199</v>
      </c>
      <c r="D80" s="1">
        <v>0.46</v>
      </c>
      <c r="E80">
        <v>1</v>
      </c>
      <c r="F80">
        <v>3</v>
      </c>
    </row>
    <row r="81" spans="1:6" x14ac:dyDescent="0.25">
      <c r="A81" t="s">
        <v>245</v>
      </c>
      <c r="B81" s="11">
        <v>979</v>
      </c>
      <c r="C81" s="11">
        <v>1920</v>
      </c>
      <c r="D81" s="1">
        <v>0.49</v>
      </c>
      <c r="E81">
        <v>1</v>
      </c>
      <c r="F81">
        <v>5</v>
      </c>
    </row>
    <row r="82" spans="1:6" x14ac:dyDescent="0.25">
      <c r="A82" t="s">
        <v>248</v>
      </c>
      <c r="B82" s="11">
        <v>1460</v>
      </c>
      <c r="C82" s="11">
        <v>2290</v>
      </c>
      <c r="D82" s="1">
        <v>0.36</v>
      </c>
      <c r="E82" t="s">
        <v>358</v>
      </c>
      <c r="F82" t="s">
        <v>358</v>
      </c>
    </row>
    <row r="83" spans="1:6" x14ac:dyDescent="0.25">
      <c r="A83" t="s">
        <v>251</v>
      </c>
      <c r="B83" s="11">
        <v>1666</v>
      </c>
      <c r="C83" s="11">
        <v>1699</v>
      </c>
      <c r="D83" s="1">
        <v>0.02</v>
      </c>
      <c r="E83" t="s">
        <v>358</v>
      </c>
      <c r="F83" t="s">
        <v>358</v>
      </c>
    </row>
    <row r="84" spans="1:6" x14ac:dyDescent="0.25">
      <c r="A84" t="s">
        <v>253</v>
      </c>
      <c r="B84" s="11">
        <v>330</v>
      </c>
      <c r="C84" s="11">
        <v>647</v>
      </c>
      <c r="D84" s="1">
        <v>0.49</v>
      </c>
      <c r="E84">
        <v>1</v>
      </c>
      <c r="F84">
        <v>4</v>
      </c>
    </row>
    <row r="85" spans="1:6" x14ac:dyDescent="0.25">
      <c r="A85" t="s">
        <v>154</v>
      </c>
      <c r="B85" s="11">
        <v>176</v>
      </c>
      <c r="C85" s="11">
        <v>345</v>
      </c>
      <c r="D85" s="1">
        <v>0.49</v>
      </c>
      <c r="E85" t="s">
        <v>358</v>
      </c>
      <c r="F85" t="s">
        <v>358</v>
      </c>
    </row>
    <row r="86" spans="1:6" x14ac:dyDescent="0.25">
      <c r="A86" t="s">
        <v>256</v>
      </c>
      <c r="B86" s="11">
        <v>1466</v>
      </c>
      <c r="C86" s="11">
        <v>1699</v>
      </c>
      <c r="D86" s="1">
        <v>0.14000000000000001</v>
      </c>
      <c r="E86" t="s">
        <v>358</v>
      </c>
      <c r="F86" t="s">
        <v>358</v>
      </c>
    </row>
    <row r="87" spans="1:6" x14ac:dyDescent="0.25">
      <c r="A87" t="s">
        <v>258</v>
      </c>
      <c r="B87" s="11">
        <v>274</v>
      </c>
      <c r="C87" s="11">
        <v>537</v>
      </c>
      <c r="D87" s="1">
        <v>0.49</v>
      </c>
      <c r="E87" t="s">
        <v>358</v>
      </c>
      <c r="F87" t="s">
        <v>358</v>
      </c>
    </row>
    <row r="88" spans="1:6" x14ac:dyDescent="0.25">
      <c r="A88" t="s">
        <v>261</v>
      </c>
      <c r="B88" s="11">
        <v>799</v>
      </c>
      <c r="C88" s="11">
        <v>900</v>
      </c>
      <c r="D88" s="1">
        <v>0.11</v>
      </c>
      <c r="E88" t="s">
        <v>358</v>
      </c>
      <c r="F88" t="s">
        <v>358</v>
      </c>
    </row>
    <row r="89" spans="1:6" x14ac:dyDescent="0.25">
      <c r="A89" t="s">
        <v>175</v>
      </c>
      <c r="B89" s="11">
        <v>657</v>
      </c>
      <c r="C89" s="11">
        <v>1288</v>
      </c>
      <c r="D89" s="1">
        <v>0.49</v>
      </c>
      <c r="E89" t="s">
        <v>358</v>
      </c>
      <c r="F89" t="s">
        <v>358</v>
      </c>
    </row>
    <row r="90" spans="1:6" x14ac:dyDescent="0.25">
      <c r="A90" t="s">
        <v>264</v>
      </c>
      <c r="B90" s="11">
        <v>1468</v>
      </c>
      <c r="C90" s="11">
        <v>1699</v>
      </c>
      <c r="D90" s="1">
        <v>0.14000000000000001</v>
      </c>
      <c r="E90" t="s">
        <v>358</v>
      </c>
      <c r="F90" t="s">
        <v>358</v>
      </c>
    </row>
    <row r="91" spans="1:6" x14ac:dyDescent="0.25">
      <c r="A91" t="s">
        <v>266</v>
      </c>
      <c r="B91" s="11">
        <v>630</v>
      </c>
      <c r="C91" s="11">
        <v>1100</v>
      </c>
      <c r="D91" s="1">
        <v>0.43</v>
      </c>
      <c r="E91" t="s">
        <v>358</v>
      </c>
      <c r="F91" t="s">
        <v>358</v>
      </c>
    </row>
    <row r="92" spans="1:6" x14ac:dyDescent="0.25">
      <c r="A92" t="s">
        <v>269</v>
      </c>
      <c r="B92" s="11">
        <v>850</v>
      </c>
      <c r="C92" s="11">
        <v>1700</v>
      </c>
      <c r="D92" s="1">
        <v>0.5</v>
      </c>
      <c r="E92" t="s">
        <v>358</v>
      </c>
      <c r="F92" t="s">
        <v>358</v>
      </c>
    </row>
    <row r="93" spans="1:6" x14ac:dyDescent="0.25">
      <c r="A93" t="s">
        <v>272</v>
      </c>
      <c r="B93" s="11">
        <v>1300</v>
      </c>
      <c r="C93" s="11">
        <v>2500</v>
      </c>
      <c r="D93" s="1">
        <v>0.48</v>
      </c>
      <c r="E93" t="s">
        <v>358</v>
      </c>
      <c r="F93" t="s">
        <v>358</v>
      </c>
    </row>
    <row r="94" spans="1:6" x14ac:dyDescent="0.25">
      <c r="A94" t="s">
        <v>274</v>
      </c>
      <c r="B94" s="11">
        <v>105</v>
      </c>
      <c r="C94" s="11">
        <v>200</v>
      </c>
      <c r="D94" s="1">
        <v>0.48</v>
      </c>
      <c r="E94" t="s">
        <v>358</v>
      </c>
      <c r="F94" t="s">
        <v>358</v>
      </c>
    </row>
    <row r="95" spans="1:6" x14ac:dyDescent="0.25">
      <c r="A95" t="s">
        <v>277</v>
      </c>
      <c r="B95" s="11">
        <v>899</v>
      </c>
      <c r="C95" s="11">
        <v>1699</v>
      </c>
      <c r="D95" s="1">
        <v>0.47</v>
      </c>
      <c r="E95" t="s">
        <v>358</v>
      </c>
      <c r="F95" t="s">
        <v>358</v>
      </c>
    </row>
    <row r="96" spans="1:6" x14ac:dyDescent="0.25">
      <c r="A96" t="s">
        <v>278</v>
      </c>
      <c r="B96" s="11">
        <v>1200</v>
      </c>
      <c r="C96" s="11">
        <v>2400</v>
      </c>
      <c r="D96" s="1">
        <v>0.5</v>
      </c>
      <c r="E96" t="s">
        <v>358</v>
      </c>
      <c r="F96" t="s">
        <v>358</v>
      </c>
    </row>
    <row r="97" spans="1:6" x14ac:dyDescent="0.25">
      <c r="A97" t="s">
        <v>280</v>
      </c>
      <c r="B97" s="11">
        <v>1526</v>
      </c>
      <c r="C97" s="11">
        <v>1660</v>
      </c>
      <c r="D97" s="1">
        <v>0.08</v>
      </c>
      <c r="E97" t="s">
        <v>358</v>
      </c>
      <c r="F97" t="s">
        <v>358</v>
      </c>
    </row>
    <row r="98" spans="1:6" x14ac:dyDescent="0.25">
      <c r="A98" t="s">
        <v>282</v>
      </c>
      <c r="B98" s="11">
        <v>1462</v>
      </c>
      <c r="C98" s="11">
        <v>1499</v>
      </c>
      <c r="D98" s="1">
        <v>0.02</v>
      </c>
      <c r="E98" t="s">
        <v>358</v>
      </c>
      <c r="F98" t="s">
        <v>358</v>
      </c>
    </row>
    <row r="99" spans="1:6" x14ac:dyDescent="0.25">
      <c r="A99" t="s">
        <v>284</v>
      </c>
      <c r="B99" s="11">
        <v>248</v>
      </c>
      <c r="C99" s="11">
        <v>486</v>
      </c>
      <c r="D99" s="1">
        <v>0.49</v>
      </c>
      <c r="E99" t="s">
        <v>358</v>
      </c>
      <c r="F99" t="s">
        <v>358</v>
      </c>
    </row>
    <row r="100" spans="1:6" x14ac:dyDescent="0.25">
      <c r="A100" t="s">
        <v>287</v>
      </c>
      <c r="B100" s="11">
        <v>3546</v>
      </c>
      <c r="C100" s="11">
        <v>3699</v>
      </c>
      <c r="D100" s="1">
        <v>0.04</v>
      </c>
      <c r="E100" t="s">
        <v>358</v>
      </c>
      <c r="F100" t="s">
        <v>358</v>
      </c>
    </row>
    <row r="101" spans="1:6" x14ac:dyDescent="0.25">
      <c r="A101" t="s">
        <v>289</v>
      </c>
      <c r="B101" s="11">
        <v>525</v>
      </c>
      <c r="C101" s="11">
        <v>1029</v>
      </c>
      <c r="D101" s="1">
        <v>0.49</v>
      </c>
      <c r="E101" t="s">
        <v>358</v>
      </c>
      <c r="F101" t="s">
        <v>358</v>
      </c>
    </row>
    <row r="102" spans="1:6" x14ac:dyDescent="0.25">
      <c r="A102" t="s">
        <v>292</v>
      </c>
      <c r="B102" s="11">
        <v>1080</v>
      </c>
      <c r="C102" s="11">
        <v>1874</v>
      </c>
      <c r="D102" s="1">
        <v>0.42</v>
      </c>
      <c r="E102" t="s">
        <v>358</v>
      </c>
      <c r="F102" t="s">
        <v>358</v>
      </c>
    </row>
    <row r="103" spans="1:6" x14ac:dyDescent="0.25">
      <c r="A103" t="s">
        <v>295</v>
      </c>
      <c r="B103" s="11">
        <v>3640</v>
      </c>
      <c r="C103" s="11">
        <v>4588</v>
      </c>
      <c r="D103" s="1">
        <v>0.21</v>
      </c>
      <c r="E103">
        <v>1</v>
      </c>
      <c r="F103">
        <v>5</v>
      </c>
    </row>
    <row r="104" spans="1:6" x14ac:dyDescent="0.25">
      <c r="A104" t="s">
        <v>298</v>
      </c>
      <c r="B104" s="11">
        <v>1420</v>
      </c>
      <c r="C104" s="11">
        <v>2420</v>
      </c>
      <c r="D104" s="1">
        <v>0.41</v>
      </c>
      <c r="E104" t="s">
        <v>358</v>
      </c>
      <c r="F104" t="s">
        <v>358</v>
      </c>
    </row>
    <row r="105" spans="1:6" x14ac:dyDescent="0.25">
      <c r="A105" t="s">
        <v>301</v>
      </c>
      <c r="B105" s="11">
        <v>1875</v>
      </c>
      <c r="C105" s="11">
        <v>1899</v>
      </c>
      <c r="D105" s="1">
        <v>0.01</v>
      </c>
      <c r="E105" t="s">
        <v>358</v>
      </c>
      <c r="F105" t="s">
        <v>358</v>
      </c>
    </row>
    <row r="106" spans="1:6" x14ac:dyDescent="0.25">
      <c r="A106" t="s">
        <v>304</v>
      </c>
      <c r="B106" s="11">
        <v>198</v>
      </c>
      <c r="C106" s="11">
        <v>260</v>
      </c>
      <c r="D106" s="1">
        <v>0.24</v>
      </c>
      <c r="E106" t="s">
        <v>358</v>
      </c>
      <c r="F106" t="s">
        <v>358</v>
      </c>
    </row>
    <row r="107" spans="1:6" x14ac:dyDescent="0.25">
      <c r="A107" t="s">
        <v>307</v>
      </c>
      <c r="B107" s="11">
        <v>1150</v>
      </c>
      <c r="C107" s="11">
        <v>1737</v>
      </c>
      <c r="D107" s="1">
        <v>0.34</v>
      </c>
      <c r="E107" t="s">
        <v>358</v>
      </c>
      <c r="F107" t="s">
        <v>358</v>
      </c>
    </row>
    <row r="108" spans="1:6" x14ac:dyDescent="0.25">
      <c r="A108" t="s">
        <v>310</v>
      </c>
      <c r="B108" s="11">
        <v>1190</v>
      </c>
      <c r="C108" s="11">
        <v>1810</v>
      </c>
      <c r="D108" s="1">
        <v>0.34</v>
      </c>
      <c r="E108" t="s">
        <v>358</v>
      </c>
      <c r="F108" t="s">
        <v>358</v>
      </c>
    </row>
    <row r="109" spans="1:6" x14ac:dyDescent="0.25">
      <c r="A109" t="s">
        <v>312</v>
      </c>
      <c r="B109" s="11">
        <v>1658</v>
      </c>
      <c r="C109" s="11">
        <v>1699</v>
      </c>
      <c r="D109" s="1">
        <v>0.02</v>
      </c>
      <c r="E109" t="s">
        <v>358</v>
      </c>
      <c r="F109" t="s">
        <v>358</v>
      </c>
    </row>
    <row r="110" spans="1:6" x14ac:dyDescent="0.25">
      <c r="A110" t="s">
        <v>314</v>
      </c>
      <c r="B110" s="11">
        <v>1768</v>
      </c>
      <c r="C110" s="11">
        <v>1799</v>
      </c>
      <c r="D110" s="1">
        <v>0.02</v>
      </c>
      <c r="E110" t="s">
        <v>358</v>
      </c>
      <c r="F110" t="s">
        <v>358</v>
      </c>
    </row>
    <row r="111" spans="1:6" x14ac:dyDescent="0.25">
      <c r="A111" t="s">
        <v>316</v>
      </c>
      <c r="B111" s="11">
        <v>199</v>
      </c>
      <c r="C111" s="11">
        <v>553</v>
      </c>
      <c r="D111" s="1">
        <v>0.64</v>
      </c>
      <c r="E111" t="s">
        <v>358</v>
      </c>
      <c r="F111" t="s">
        <v>358</v>
      </c>
    </row>
    <row r="112" spans="1:6" x14ac:dyDescent="0.25">
      <c r="A112" t="s">
        <v>318</v>
      </c>
      <c r="B112" s="11">
        <v>450</v>
      </c>
      <c r="C112" s="11">
        <v>900</v>
      </c>
      <c r="D112" s="1">
        <v>0.5</v>
      </c>
      <c r="E112">
        <v>1</v>
      </c>
      <c r="F112">
        <v>2</v>
      </c>
    </row>
    <row r="113" spans="1:6" x14ac:dyDescent="0.25">
      <c r="A113" t="s">
        <v>320</v>
      </c>
      <c r="B113" s="11">
        <v>169</v>
      </c>
      <c r="C113" s="11">
        <v>320</v>
      </c>
      <c r="D113" s="1">
        <v>0.47</v>
      </c>
      <c r="E113" t="s">
        <v>358</v>
      </c>
      <c r="F113" t="s">
        <v>358</v>
      </c>
    </row>
    <row r="114" spans="1:6" x14ac:dyDescent="0.25">
      <c r="B114"/>
      <c r="C114"/>
    </row>
    <row r="115" spans="1:6" x14ac:dyDescent="0.25">
      <c r="B115"/>
      <c r="C115"/>
    </row>
    <row r="116" spans="1:6" x14ac:dyDescent="0.25">
      <c r="B116"/>
      <c r="C1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70079-0AA9-412C-A7FD-CE47F45C9666}">
  <dimension ref="A1:K116"/>
  <sheetViews>
    <sheetView zoomScale="85" zoomScaleNormal="85" workbookViewId="0">
      <selection activeCell="F1" sqref="F1:F1048576"/>
    </sheetView>
  </sheetViews>
  <sheetFormatPr defaultRowHeight="15" x14ac:dyDescent="0.25"/>
  <cols>
    <col min="1" max="1" width="70.85546875" customWidth="1"/>
    <col min="2" max="4" width="19.42578125" style="11" customWidth="1"/>
    <col min="5" max="5" width="17.42578125" bestFit="1" customWidth="1"/>
    <col min="6" max="6" width="17.42578125" customWidth="1"/>
    <col min="7" max="7" width="19" bestFit="1" customWidth="1"/>
    <col min="10" max="10" width="17.7109375" bestFit="1" customWidth="1"/>
    <col min="11" max="11" width="18.5703125" bestFit="1" customWidth="1"/>
  </cols>
  <sheetData>
    <row r="1" spans="1:11" s="7" customFormat="1" x14ac:dyDescent="0.25">
      <c r="A1" s="8" t="s">
        <v>0</v>
      </c>
      <c r="B1" s="10" t="s">
        <v>326</v>
      </c>
      <c r="C1" s="10" t="s">
        <v>372</v>
      </c>
      <c r="D1" s="10" t="s">
        <v>327</v>
      </c>
      <c r="E1" s="8" t="s">
        <v>3</v>
      </c>
      <c r="F1" s="8" t="s">
        <v>369</v>
      </c>
      <c r="G1" s="8" t="s">
        <v>364</v>
      </c>
      <c r="H1" s="8" t="s">
        <v>4</v>
      </c>
      <c r="I1" s="8" t="s">
        <v>361</v>
      </c>
      <c r="J1" s="8" t="s">
        <v>367</v>
      </c>
      <c r="K1" s="8" t="s">
        <v>376</v>
      </c>
    </row>
    <row r="2" spans="1:11" x14ac:dyDescent="0.25">
      <c r="A2" t="s">
        <v>345</v>
      </c>
      <c r="B2" s="11">
        <v>950</v>
      </c>
      <c r="C2" s="11" t="str">
        <f>IF(Table3[[#This Row],[Current Price]]="","Missing",IF(Table3[[#This Row],[Current Price]]&lt;=Price_Q1,"Low Price",IF(Table3[[#This Row],[Current Price]]&lt;=Price_Q3,"Medium Price","High Price")))</f>
        <v>Medium Price</v>
      </c>
      <c r="D2" s="11">
        <v>1525</v>
      </c>
      <c r="E2" s="1">
        <v>0.38</v>
      </c>
      <c r="F2" s="1" t="str">
        <f>IF(Table3[[#This Row],[Discount]]="","Missing",IF(Table3[[#This Row],[Discount]]&lt;0.2,"Low Discount",IF(Table3[[#This Row],[Discount]]&lt;=0.4,"Medium Discount","High Discount")))</f>
        <v>Medium Discount</v>
      </c>
      <c r="G2" s="11">
        <f>Table3[[#This Row],[Old Price]]-Table3[[#This Row],[Current Price]]</f>
        <v>575</v>
      </c>
      <c r="H2">
        <v>2</v>
      </c>
      <c r="I2">
        <v>4.5</v>
      </c>
      <c r="J2" t="str">
        <f>IF(Table3[[#This Row],[Rating]]="","Missing",IF(Table3[[#This Row],[Rating]]&lt;3,"Poor",IF(Table3[[#This Row],[Rating]]&lt;=4.5,"Average","Excellent")))</f>
        <v>Average</v>
      </c>
      <c r="K2" t="str">
        <f>IF(OR(Table3[[#This Row],[Rating]]&lt;0,Table3[[#This Row],[Rating]]&gt;5),"Check rating",IF(OR(Table3[[#This Row],[Discount]]&lt;0,Table3[[#This Row],[Discount]]&gt;1),"Check discount",IF(Table3[[#This Row],[Current Price]]&gt;Table3[[#This Row],[Old Price]],"Check prices","OK")))</f>
        <v>OK</v>
      </c>
    </row>
    <row r="3" spans="1:11" x14ac:dyDescent="0.25">
      <c r="A3" t="s">
        <v>10</v>
      </c>
      <c r="B3" s="11">
        <v>527</v>
      </c>
      <c r="C3" s="11" t="str">
        <f>IF(Table3[[#This Row],[Current Price]]="","Missing",IF(Table3[[#This Row],[Current Price]]&lt;=Price_Q1,"Low Price",IF(Table3[[#This Row],[Current Price]]&lt;=Price_Q3,"Medium Price","High Price")))</f>
        <v>Medium Price</v>
      </c>
      <c r="D3" s="11">
        <v>999</v>
      </c>
      <c r="E3" s="1">
        <v>0.47</v>
      </c>
      <c r="F3" s="1" t="str">
        <f>IF(Table3[[#This Row],[Discount]]="","Missing",IF(Table3[[#This Row],[Discount]]&lt;0.2,"Low Discount",IF(Table3[[#This Row],[Discount]]&lt;=0.4,"Medium Discount","High Discount")))</f>
        <v>High Discount</v>
      </c>
      <c r="G3" s="11">
        <f>Table3[[#This Row],[Old Price]]-Table3[[#This Row],[Current Price]]</f>
        <v>472</v>
      </c>
      <c r="H3">
        <v>14</v>
      </c>
      <c r="I3">
        <v>4.0999999999999996</v>
      </c>
      <c r="J3" t="str">
        <f>IF(Table3[[#This Row],[Rating]]="","Missing",IF(Table3[[#This Row],[Rating]]&lt;3,"Poor",IF(Table3[[#This Row],[Rating]]&lt;=4.5,"Average","Excellent")))</f>
        <v>Average</v>
      </c>
      <c r="K3" t="str">
        <f>IF(OR(Table3[[#This Row],[Rating]]&lt;0,Table3[[#This Row],[Rating]]&gt;5),"Check rating",IF(OR(Table3[[#This Row],[Discount]]&lt;0,Table3[[#This Row],[Discount]]&gt;1),"Check discount",IF(Table3[[#This Row],[Current Price]]&gt;Table3[[#This Row],[Old Price]],"Check prices","OK")))</f>
        <v>OK</v>
      </c>
    </row>
    <row r="4" spans="1:11" x14ac:dyDescent="0.25">
      <c r="A4" t="s">
        <v>14</v>
      </c>
      <c r="B4" s="11">
        <v>2199</v>
      </c>
      <c r="C4" s="11" t="str">
        <f>IF(Table3[[#This Row],[Current Price]]="","Missing",IF(Table3[[#This Row],[Current Price]]&lt;=Price_Q1,"Low Price",IF(Table3[[#This Row],[Current Price]]&lt;=Price_Q3,"Medium Price","High Price")))</f>
        <v>High Price</v>
      </c>
      <c r="D4" s="11">
        <v>2923</v>
      </c>
      <c r="E4" s="1">
        <v>0.25</v>
      </c>
      <c r="F4" s="1" t="str">
        <f>IF(Table3[[#This Row],[Discount]]="","Missing",IF(Table3[[#This Row],[Discount]]&lt;0.2,"Low Discount",IF(Table3[[#This Row],[Discount]]&lt;=0.4,"Medium Discount","High Discount")))</f>
        <v>Medium Discount</v>
      </c>
      <c r="G4" s="11">
        <f>Table3[[#This Row],[Old Price]]-Table3[[#This Row],[Current Price]]</f>
        <v>724</v>
      </c>
      <c r="H4">
        <v>24</v>
      </c>
      <c r="I4">
        <v>4.5999999999999996</v>
      </c>
      <c r="J4" t="str">
        <f>IF(Table3[[#This Row],[Rating]]="","Missing",IF(Table3[[#This Row],[Rating]]&lt;3,"Poor",IF(Table3[[#This Row],[Rating]]&lt;=4.5,"Average","Excellent")))</f>
        <v>Excellent</v>
      </c>
      <c r="K4" t="str">
        <f>IF(OR(Table3[[#This Row],[Rating]]&lt;0,Table3[[#This Row],[Rating]]&gt;5),"Check rating",IF(OR(Table3[[#This Row],[Discount]]&lt;0,Table3[[#This Row],[Discount]]&gt;1),"Check discount",IF(Table3[[#This Row],[Current Price]]&gt;Table3[[#This Row],[Old Price]],"Check prices","OK")))</f>
        <v>OK</v>
      </c>
    </row>
    <row r="5" spans="1:11" x14ac:dyDescent="0.25">
      <c r="A5" t="s">
        <v>18</v>
      </c>
      <c r="B5" s="11">
        <v>1580</v>
      </c>
      <c r="C5" s="11" t="str">
        <f>IF(Table3[[#This Row],[Current Price]]="","Missing",IF(Table3[[#This Row],[Current Price]]&lt;=Price_Q1,"Low Price",IF(Table3[[#This Row],[Current Price]]&lt;=Price_Q3,"Medium Price","High Price")))</f>
        <v>Medium Price</v>
      </c>
      <c r="D5" s="11">
        <v>2499</v>
      </c>
      <c r="E5" s="1">
        <v>0.37</v>
      </c>
      <c r="F5" s="1" t="str">
        <f>IF(Table3[[#This Row],[Discount]]="","Missing",IF(Table3[[#This Row],[Discount]]&lt;0.2,"Low Discount",IF(Table3[[#This Row],[Discount]]&lt;=0.4,"Medium Discount","High Discount")))</f>
        <v>Medium Discount</v>
      </c>
      <c r="G5" s="11">
        <f>Table3[[#This Row],[Old Price]]-Table3[[#This Row],[Current Price]]</f>
        <v>919</v>
      </c>
      <c r="H5">
        <v>7</v>
      </c>
      <c r="I5">
        <v>4.7</v>
      </c>
      <c r="J5" t="str">
        <f>IF(Table3[[#This Row],[Rating]]="","Missing",IF(Table3[[#This Row],[Rating]]&lt;3,"Poor",IF(Table3[[#This Row],[Rating]]&lt;=4.5,"Average","Excellent")))</f>
        <v>Excellent</v>
      </c>
      <c r="K5" t="str">
        <f>IF(OR(Table3[[#This Row],[Rating]]&lt;0,Table3[[#This Row],[Rating]]&gt;5),"Check rating",IF(OR(Table3[[#This Row],[Discount]]&lt;0,Table3[[#This Row],[Discount]]&gt;1),"Check discount",IF(Table3[[#This Row],[Current Price]]&gt;Table3[[#This Row],[Old Price]],"Check prices","OK")))</f>
        <v>OK</v>
      </c>
    </row>
    <row r="6" spans="1:11" x14ac:dyDescent="0.25">
      <c r="A6" t="s">
        <v>22</v>
      </c>
      <c r="B6" s="11">
        <v>1740</v>
      </c>
      <c r="C6" s="11" t="str">
        <f>IF(Table3[[#This Row],[Current Price]]="","Missing",IF(Table3[[#This Row],[Current Price]]&lt;=Price_Q1,"Low Price",IF(Table3[[#This Row],[Current Price]]&lt;=Price_Q3,"Medium Price","High Price")))</f>
        <v>High Price</v>
      </c>
      <c r="D6" s="11">
        <v>2356</v>
      </c>
      <c r="E6" s="1">
        <v>0.26</v>
      </c>
      <c r="F6" s="1" t="str">
        <f>IF(Table3[[#This Row],[Discount]]="","Missing",IF(Table3[[#This Row],[Discount]]&lt;0.2,"Low Discount",IF(Table3[[#This Row],[Discount]]&lt;=0.4,"Medium Discount","High Discount")))</f>
        <v>Medium Discount</v>
      </c>
      <c r="G6" s="11">
        <f>Table3[[#This Row],[Old Price]]-Table3[[#This Row],[Current Price]]</f>
        <v>616</v>
      </c>
      <c r="H6">
        <v>5</v>
      </c>
      <c r="I6">
        <v>4.8</v>
      </c>
      <c r="J6" t="str">
        <f>IF(Table3[[#This Row],[Rating]]="","Missing",IF(Table3[[#This Row],[Rating]]&lt;3,"Poor",IF(Table3[[#This Row],[Rating]]&lt;=4.5,"Average","Excellent")))</f>
        <v>Excellent</v>
      </c>
      <c r="K6" t="str">
        <f>IF(OR(Table3[[#This Row],[Rating]]&lt;0,Table3[[#This Row],[Rating]]&gt;5),"Check rating",IF(OR(Table3[[#This Row],[Discount]]&lt;0,Table3[[#This Row],[Discount]]&gt;1),"Check discount",IF(Table3[[#This Row],[Current Price]]&gt;Table3[[#This Row],[Old Price]],"Check prices","OK")))</f>
        <v>OK</v>
      </c>
    </row>
    <row r="7" spans="1:11" x14ac:dyDescent="0.25">
      <c r="A7" t="s">
        <v>26</v>
      </c>
      <c r="B7" s="11">
        <v>2999</v>
      </c>
      <c r="C7" s="11" t="str">
        <f>IF(Table3[[#This Row],[Current Price]]="","Missing",IF(Table3[[#This Row],[Current Price]]&lt;=Price_Q1,"Low Price",IF(Table3[[#This Row],[Current Price]]&lt;=Price_Q3,"Medium Price","High Price")))</f>
        <v>High Price</v>
      </c>
      <c r="D7" s="11">
        <v>3290</v>
      </c>
      <c r="E7" s="1">
        <v>0.09</v>
      </c>
      <c r="F7" s="1" t="str">
        <f>IF(Table3[[#This Row],[Discount]]="","Missing",IF(Table3[[#This Row],[Discount]]&lt;0.2,"Low Discount",IF(Table3[[#This Row],[Discount]]&lt;=0.4,"Medium Discount","High Discount")))</f>
        <v>Low Discount</v>
      </c>
      <c r="G7" s="11">
        <f>Table3[[#This Row],[Old Price]]-Table3[[#This Row],[Current Price]]</f>
        <v>291</v>
      </c>
      <c r="H7">
        <v>15</v>
      </c>
      <c r="I7">
        <v>4</v>
      </c>
      <c r="J7" t="str">
        <f>IF(Table3[[#This Row],[Rating]]="","Missing",IF(Table3[[#This Row],[Rating]]&lt;3,"Poor",IF(Table3[[#This Row],[Rating]]&lt;=4.5,"Average","Excellent")))</f>
        <v>Average</v>
      </c>
      <c r="K7" t="str">
        <f>IF(OR(Table3[[#This Row],[Rating]]&lt;0,Table3[[#This Row],[Rating]]&gt;5),"Check rating",IF(OR(Table3[[#This Row],[Discount]]&lt;0,Table3[[#This Row],[Discount]]&gt;1),"Check discount",IF(Table3[[#This Row],[Current Price]]&gt;Table3[[#This Row],[Old Price]],"Check prices","OK")))</f>
        <v>OK</v>
      </c>
    </row>
    <row r="8" spans="1:11" x14ac:dyDescent="0.25">
      <c r="A8" t="s">
        <v>30</v>
      </c>
      <c r="B8" s="11">
        <v>2319</v>
      </c>
      <c r="C8" s="11" t="str">
        <f>IF(Table3[[#This Row],[Current Price]]="","Missing",IF(Table3[[#This Row],[Current Price]]&lt;=Price_Q1,"Low Price",IF(Table3[[#This Row],[Current Price]]&lt;=Price_Q3,"Medium Price","High Price")))</f>
        <v>High Price</v>
      </c>
      <c r="D8" s="11">
        <v>3032</v>
      </c>
      <c r="E8" s="1">
        <v>0.24</v>
      </c>
      <c r="F8" s="1" t="str">
        <f>IF(Table3[[#This Row],[Discount]]="","Missing",IF(Table3[[#This Row],[Discount]]&lt;0.2,"Low Discount",IF(Table3[[#This Row],[Discount]]&lt;=0.4,"Medium Discount","High Discount")))</f>
        <v>Medium Discount</v>
      </c>
      <c r="G8" s="11">
        <f>Table3[[#This Row],[Old Price]]-Table3[[#This Row],[Current Price]]</f>
        <v>713</v>
      </c>
      <c r="H8">
        <v>55</v>
      </c>
      <c r="I8">
        <v>4.5999999999999996</v>
      </c>
      <c r="J8" t="str">
        <f>IF(Table3[[#This Row],[Rating]]="","Missing",IF(Table3[[#This Row],[Rating]]&lt;3,"Poor",IF(Table3[[#This Row],[Rating]]&lt;=4.5,"Average","Excellent")))</f>
        <v>Excellent</v>
      </c>
      <c r="K8" t="str">
        <f>IF(OR(Table3[[#This Row],[Rating]]&lt;0,Table3[[#This Row],[Rating]]&gt;5),"Check rating",IF(OR(Table3[[#This Row],[Discount]]&lt;0,Table3[[#This Row],[Discount]]&gt;1),"Check discount",IF(Table3[[#This Row],[Current Price]]&gt;Table3[[#This Row],[Old Price]],"Check prices","OK")))</f>
        <v>OK</v>
      </c>
    </row>
    <row r="9" spans="1:11" x14ac:dyDescent="0.25">
      <c r="A9" t="s">
        <v>33</v>
      </c>
      <c r="B9" s="11">
        <v>988</v>
      </c>
      <c r="C9" s="11" t="str">
        <f>IF(Table3[[#This Row],[Current Price]]="","Missing",IF(Table3[[#This Row],[Current Price]]&lt;=Price_Q1,"Low Price",IF(Table3[[#This Row],[Current Price]]&lt;=Price_Q3,"Medium Price","High Price")))</f>
        <v>Medium Price</v>
      </c>
      <c r="D9" s="11">
        <v>1580</v>
      </c>
      <c r="E9" s="1">
        <v>0.37</v>
      </c>
      <c r="F9" s="1" t="str">
        <f>IF(Table3[[#This Row],[Discount]]="","Missing",IF(Table3[[#This Row],[Discount]]&lt;0.2,"Low Discount",IF(Table3[[#This Row],[Discount]]&lt;=0.4,"Medium Discount","High Discount")))</f>
        <v>Medium Discount</v>
      </c>
      <c r="G9" s="11">
        <f>Table3[[#This Row],[Old Price]]-Table3[[#This Row],[Current Price]]</f>
        <v>592</v>
      </c>
      <c r="H9">
        <v>2</v>
      </c>
      <c r="I9">
        <v>4</v>
      </c>
      <c r="J9" t="str">
        <f>IF(Table3[[#This Row],[Rating]]="","Missing",IF(Table3[[#This Row],[Rating]]&lt;3,"Poor",IF(Table3[[#This Row],[Rating]]&lt;=4.5,"Average","Excellent")))</f>
        <v>Average</v>
      </c>
      <c r="K9" t="str">
        <f>IF(OR(Table3[[#This Row],[Rating]]&lt;0,Table3[[#This Row],[Rating]]&gt;5),"Check rating",IF(OR(Table3[[#This Row],[Discount]]&lt;0,Table3[[#This Row],[Discount]]&gt;1),"Check discount",IF(Table3[[#This Row],[Current Price]]&gt;Table3[[#This Row],[Old Price]],"Check prices","OK")))</f>
        <v>OK</v>
      </c>
    </row>
    <row r="10" spans="1:11" x14ac:dyDescent="0.25">
      <c r="A10" t="s">
        <v>35</v>
      </c>
      <c r="B10" s="11">
        <v>1274</v>
      </c>
      <c r="C10" s="11" t="str">
        <f>IF(Table3[[#This Row],[Current Price]]="","Missing",IF(Table3[[#This Row],[Current Price]]&lt;=Price_Q1,"Low Price",IF(Table3[[#This Row],[Current Price]]&lt;=Price_Q3,"Medium Price","High Price")))</f>
        <v>Medium Price</v>
      </c>
      <c r="D10" s="11">
        <v>2800</v>
      </c>
      <c r="E10" s="1">
        <v>0.55000000000000004</v>
      </c>
      <c r="F10" s="1" t="str">
        <f>IF(Table3[[#This Row],[Discount]]="","Missing",IF(Table3[[#This Row],[Discount]]&lt;0.2,"Low Discount",IF(Table3[[#This Row],[Discount]]&lt;=0.4,"Medium Discount","High Discount")))</f>
        <v>High Discount</v>
      </c>
      <c r="G10" s="11">
        <f>Table3[[#This Row],[Old Price]]-Table3[[#This Row],[Current Price]]</f>
        <v>1526</v>
      </c>
      <c r="H10">
        <v>5</v>
      </c>
      <c r="I10">
        <v>4.8</v>
      </c>
      <c r="J10" t="str">
        <f>IF(Table3[[#This Row],[Rating]]="","Missing",IF(Table3[[#This Row],[Rating]]&lt;3,"Poor",IF(Table3[[#This Row],[Rating]]&lt;=4.5,"Average","Excellent")))</f>
        <v>Excellent</v>
      </c>
      <c r="K10" t="str">
        <f>IF(OR(Table3[[#This Row],[Rating]]&lt;0,Table3[[#This Row],[Rating]]&gt;5),"Check rating",IF(OR(Table3[[#This Row],[Discount]]&lt;0,Table3[[#This Row],[Discount]]&gt;1),"Check discount",IF(Table3[[#This Row],[Current Price]]&gt;Table3[[#This Row],[Old Price]],"Check prices","OK")))</f>
        <v>OK</v>
      </c>
    </row>
    <row r="11" spans="1:11" x14ac:dyDescent="0.25">
      <c r="A11" t="s">
        <v>38</v>
      </c>
      <c r="B11" s="11">
        <v>1600</v>
      </c>
      <c r="C11" s="11" t="str">
        <f>IF(Table3[[#This Row],[Current Price]]="","Missing",IF(Table3[[#This Row],[Current Price]]&lt;=Price_Q1,"Low Price",IF(Table3[[#This Row],[Current Price]]&lt;=Price_Q3,"Medium Price","High Price")))</f>
        <v>Medium Price</v>
      </c>
      <c r="D11" s="11">
        <v>2929</v>
      </c>
      <c r="E11" s="1">
        <v>0.45</v>
      </c>
      <c r="F11" s="1" t="str">
        <f>IF(Table3[[#This Row],[Discount]]="","Missing",IF(Table3[[#This Row],[Discount]]&lt;0.2,"Low Discount",IF(Table3[[#This Row],[Discount]]&lt;=0.4,"Medium Discount","High Discount")))</f>
        <v>High Discount</v>
      </c>
      <c r="G11" s="11">
        <f>Table3[[#This Row],[Old Price]]-Table3[[#This Row],[Current Price]]</f>
        <v>1329</v>
      </c>
      <c r="H11">
        <v>5</v>
      </c>
      <c r="I11">
        <v>3.8</v>
      </c>
      <c r="J11" t="str">
        <f>IF(Table3[[#This Row],[Rating]]="","Missing",IF(Table3[[#This Row],[Rating]]&lt;3,"Poor",IF(Table3[[#This Row],[Rating]]&lt;=4.5,"Average","Excellent")))</f>
        <v>Average</v>
      </c>
      <c r="K11" t="str">
        <f>IF(OR(Table3[[#This Row],[Rating]]&lt;0,Table3[[#This Row],[Rating]]&gt;5),"Check rating",IF(OR(Table3[[#This Row],[Discount]]&lt;0,Table3[[#This Row],[Discount]]&gt;1),"Check discount",IF(Table3[[#This Row],[Current Price]]&gt;Table3[[#This Row],[Old Price]],"Check prices","OK")))</f>
        <v>OK</v>
      </c>
    </row>
    <row r="12" spans="1:11" x14ac:dyDescent="0.25">
      <c r="A12" t="s">
        <v>42</v>
      </c>
      <c r="B12" s="11">
        <v>799</v>
      </c>
      <c r="C12" s="11" t="str">
        <f>IF(Table3[[#This Row],[Current Price]]="","Missing",IF(Table3[[#This Row],[Current Price]]&lt;=Price_Q1,"Low Price",IF(Table3[[#This Row],[Current Price]]&lt;=Price_Q3,"Medium Price","High Price")))</f>
        <v>Medium Price</v>
      </c>
      <c r="D12" s="11">
        <v>999</v>
      </c>
      <c r="E12" s="1">
        <v>0.2</v>
      </c>
      <c r="F12" s="1" t="str">
        <f>IF(Table3[[#This Row],[Discount]]="","Missing",IF(Table3[[#This Row],[Discount]]&lt;0.2,"Low Discount",IF(Table3[[#This Row],[Discount]]&lt;=0.4,"Medium Discount","High Discount")))</f>
        <v>Medium Discount</v>
      </c>
      <c r="G12" s="11">
        <f>Table3[[#This Row],[Old Price]]-Table3[[#This Row],[Current Price]]</f>
        <v>200</v>
      </c>
      <c r="H12">
        <v>12</v>
      </c>
      <c r="I12">
        <v>4.0999999999999996</v>
      </c>
      <c r="J12" t="str">
        <f>IF(Table3[[#This Row],[Rating]]="","Missing",IF(Table3[[#This Row],[Rating]]&lt;3,"Poor",IF(Table3[[#This Row],[Rating]]&lt;=4.5,"Average","Excellent")))</f>
        <v>Average</v>
      </c>
      <c r="K12" t="str">
        <f>IF(OR(Table3[[#This Row],[Rating]]&lt;0,Table3[[#This Row],[Rating]]&gt;5),"Check rating",IF(OR(Table3[[#This Row],[Discount]]&lt;0,Table3[[#This Row],[Discount]]&gt;1),"Check discount",IF(Table3[[#This Row],[Current Price]]&gt;Table3[[#This Row],[Old Price]],"Check prices","OK")))</f>
        <v>OK</v>
      </c>
    </row>
    <row r="13" spans="1:11" x14ac:dyDescent="0.25">
      <c r="A13" t="s">
        <v>44</v>
      </c>
      <c r="B13" s="11">
        <v>990</v>
      </c>
      <c r="C13" s="11" t="str">
        <f>IF(Table3[[#This Row],[Current Price]]="","Missing",IF(Table3[[#This Row],[Current Price]]&lt;=Price_Q1,"Low Price",IF(Table3[[#This Row],[Current Price]]&lt;=Price_Q3,"Medium Price","High Price")))</f>
        <v>Medium Price</v>
      </c>
      <c r="D13" s="11">
        <v>1500</v>
      </c>
      <c r="E13" s="1">
        <v>0.34</v>
      </c>
      <c r="F13" s="1" t="str">
        <f>IF(Table3[[#This Row],[Discount]]="","Missing",IF(Table3[[#This Row],[Discount]]&lt;0.2,"Low Discount",IF(Table3[[#This Row],[Discount]]&lt;=0.4,"Medium Discount","High Discount")))</f>
        <v>Medium Discount</v>
      </c>
      <c r="G13" s="11">
        <f>Table3[[#This Row],[Old Price]]-Table3[[#This Row],[Current Price]]</f>
        <v>510</v>
      </c>
      <c r="H13">
        <v>39</v>
      </c>
      <c r="I13">
        <v>4.7</v>
      </c>
      <c r="J13" t="str">
        <f>IF(Table3[[#This Row],[Rating]]="","Missing",IF(Table3[[#This Row],[Rating]]&lt;3,"Poor",IF(Table3[[#This Row],[Rating]]&lt;=4.5,"Average","Excellent")))</f>
        <v>Excellent</v>
      </c>
      <c r="K13" t="str">
        <f>IF(OR(Table3[[#This Row],[Rating]]&lt;0,Table3[[#This Row],[Rating]]&gt;5),"Check rating",IF(OR(Table3[[#This Row],[Discount]]&lt;0,Table3[[#This Row],[Discount]]&gt;1),"Check discount",IF(Table3[[#This Row],[Current Price]]&gt;Table3[[#This Row],[Old Price]],"Check prices","OK")))</f>
        <v>OK</v>
      </c>
    </row>
    <row r="14" spans="1:11" x14ac:dyDescent="0.25">
      <c r="A14" t="s">
        <v>47</v>
      </c>
      <c r="B14" s="11">
        <v>552</v>
      </c>
      <c r="C14" s="11" t="str">
        <f>IF(Table3[[#This Row],[Current Price]]="","Missing",IF(Table3[[#This Row],[Current Price]]&lt;=Price_Q1,"Low Price",IF(Table3[[#This Row],[Current Price]]&lt;=Price_Q3,"Medium Price","High Price")))</f>
        <v>Medium Price</v>
      </c>
      <c r="D14" s="11">
        <v>1035</v>
      </c>
      <c r="E14" s="1">
        <v>0.47</v>
      </c>
      <c r="F14" s="1" t="str">
        <f>IF(Table3[[#This Row],[Discount]]="","Missing",IF(Table3[[#This Row],[Discount]]&lt;0.2,"Low Discount",IF(Table3[[#This Row],[Discount]]&lt;=0.4,"Medium Discount","High Discount")))</f>
        <v>High Discount</v>
      </c>
      <c r="G14" s="11">
        <f>Table3[[#This Row],[Old Price]]-Table3[[#This Row],[Current Price]]</f>
        <v>483</v>
      </c>
      <c r="H14">
        <v>12</v>
      </c>
      <c r="I14">
        <v>4.8</v>
      </c>
      <c r="J14" t="str">
        <f>IF(Table3[[#This Row],[Rating]]="","Missing",IF(Table3[[#This Row],[Rating]]&lt;3,"Poor",IF(Table3[[#This Row],[Rating]]&lt;=4.5,"Average","Excellent")))</f>
        <v>Excellent</v>
      </c>
      <c r="K14" t="str">
        <f>IF(OR(Table3[[#This Row],[Rating]]&lt;0,Table3[[#This Row],[Rating]]&gt;5),"Check rating",IF(OR(Table3[[#This Row],[Discount]]&lt;0,Table3[[#This Row],[Discount]]&gt;1),"Check discount",IF(Table3[[#This Row],[Current Price]]&gt;Table3[[#This Row],[Old Price]],"Check prices","OK")))</f>
        <v>OK</v>
      </c>
    </row>
    <row r="15" spans="1:11" x14ac:dyDescent="0.25">
      <c r="A15" t="s">
        <v>50</v>
      </c>
      <c r="B15" s="11">
        <v>501</v>
      </c>
      <c r="C15" s="11" t="str">
        <f>IF(Table3[[#This Row],[Current Price]]="","Missing",IF(Table3[[#This Row],[Current Price]]&lt;=Price_Q1,"Low Price",IF(Table3[[#This Row],[Current Price]]&lt;=Price_Q3,"Medium Price","High Price")))</f>
        <v>Medium Price</v>
      </c>
      <c r="D15" s="11">
        <v>860</v>
      </c>
      <c r="E15" s="1">
        <v>0.42</v>
      </c>
      <c r="F15" s="1" t="str">
        <f>IF(Table3[[#This Row],[Discount]]="","Missing",IF(Table3[[#This Row],[Discount]]&lt;0.2,"Low Discount",IF(Table3[[#This Row],[Discount]]&lt;=0.4,"Medium Discount","High Discount")))</f>
        <v>High Discount</v>
      </c>
      <c r="G15" s="11">
        <f>Table3[[#This Row],[Old Price]]-Table3[[#This Row],[Current Price]]</f>
        <v>359</v>
      </c>
      <c r="H15">
        <v>6</v>
      </c>
      <c r="I15">
        <v>4.5</v>
      </c>
      <c r="J15" t="str">
        <f>IF(Table3[[#This Row],[Rating]]="","Missing",IF(Table3[[#This Row],[Rating]]&lt;3,"Poor",IF(Table3[[#This Row],[Rating]]&lt;=4.5,"Average","Excellent")))</f>
        <v>Average</v>
      </c>
      <c r="K15" t="str">
        <f>IF(OR(Table3[[#This Row],[Rating]]&lt;0,Table3[[#This Row],[Rating]]&gt;5),"Check rating",IF(OR(Table3[[#This Row],[Discount]]&lt;0,Table3[[#This Row],[Discount]]&gt;1),"Check discount",IF(Table3[[#This Row],[Current Price]]&gt;Table3[[#This Row],[Old Price]],"Check prices","OK")))</f>
        <v>OK</v>
      </c>
    </row>
    <row r="16" spans="1:11" x14ac:dyDescent="0.25">
      <c r="A16" t="s">
        <v>53</v>
      </c>
      <c r="B16" s="11">
        <v>1680</v>
      </c>
      <c r="C16" s="11" t="str">
        <f>IF(Table3[[#This Row],[Current Price]]="","Missing",IF(Table3[[#This Row],[Current Price]]&lt;=Price_Q1,"Low Price",IF(Table3[[#This Row],[Current Price]]&lt;=Price_Q3,"Medium Price","High Price")))</f>
        <v>High Price</v>
      </c>
      <c r="D16" s="11">
        <v>2499</v>
      </c>
      <c r="E16" s="1">
        <v>0.33</v>
      </c>
      <c r="F16" s="1" t="str">
        <f>IF(Table3[[#This Row],[Discount]]="","Missing",IF(Table3[[#This Row],[Discount]]&lt;0.2,"Low Discount",IF(Table3[[#This Row],[Discount]]&lt;=0.4,"Medium Discount","High Discount")))</f>
        <v>Medium Discount</v>
      </c>
      <c r="G16" s="11">
        <f>Table3[[#This Row],[Old Price]]-Table3[[#This Row],[Current Price]]</f>
        <v>819</v>
      </c>
      <c r="H16">
        <v>9</v>
      </c>
      <c r="I16">
        <v>4.2</v>
      </c>
      <c r="J16" t="str">
        <f>IF(Table3[[#This Row],[Rating]]="","Missing",IF(Table3[[#This Row],[Rating]]&lt;3,"Poor",IF(Table3[[#This Row],[Rating]]&lt;=4.5,"Average","Excellent")))</f>
        <v>Average</v>
      </c>
      <c r="K16" t="str">
        <f>IF(OR(Table3[[#This Row],[Rating]]&lt;0,Table3[[#This Row],[Rating]]&gt;5),"Check rating",IF(OR(Table3[[#This Row],[Discount]]&lt;0,Table3[[#This Row],[Discount]]&gt;1),"Check discount",IF(Table3[[#This Row],[Current Price]]&gt;Table3[[#This Row],[Old Price]],"Check prices","OK")))</f>
        <v>OK</v>
      </c>
    </row>
    <row r="17" spans="1:11" x14ac:dyDescent="0.25">
      <c r="A17" t="s">
        <v>346</v>
      </c>
      <c r="B17" s="11">
        <v>332</v>
      </c>
      <c r="C17" s="11" t="str">
        <f>IF(Table3[[#This Row],[Current Price]]="","Missing",IF(Table3[[#This Row],[Current Price]]&lt;=Price_Q1,"Low Price",IF(Table3[[#This Row],[Current Price]]&lt;=Price_Q3,"Medium Price","High Price")))</f>
        <v>Low Price</v>
      </c>
      <c r="D17" s="11">
        <v>684</v>
      </c>
      <c r="E17" s="1">
        <v>0.51</v>
      </c>
      <c r="F17" s="1" t="str">
        <f>IF(Table3[[#This Row],[Discount]]="","Missing",IF(Table3[[#This Row],[Discount]]&lt;0.2,"Low Discount",IF(Table3[[#This Row],[Discount]]&lt;=0.4,"Medium Discount","High Discount")))</f>
        <v>High Discount</v>
      </c>
      <c r="G17" s="11">
        <f>Table3[[#This Row],[Old Price]]-Table3[[#This Row],[Current Price]]</f>
        <v>352</v>
      </c>
      <c r="H17">
        <v>2</v>
      </c>
      <c r="I17">
        <v>5</v>
      </c>
      <c r="J17" t="str">
        <f>IF(Table3[[#This Row],[Rating]]="","Missing",IF(Table3[[#This Row],[Rating]]&lt;3,"Poor",IF(Table3[[#This Row],[Rating]]&lt;=4.5,"Average","Excellent")))</f>
        <v>Excellent</v>
      </c>
      <c r="K17" t="str">
        <f>IF(OR(Table3[[#This Row],[Rating]]&lt;0,Table3[[#This Row],[Rating]]&gt;5),"Check rating",IF(OR(Table3[[#This Row],[Discount]]&lt;0,Table3[[#This Row],[Discount]]&gt;1),"Check discount",IF(Table3[[#This Row],[Current Price]]&gt;Table3[[#This Row],[Old Price]],"Check prices","OK")))</f>
        <v>OK</v>
      </c>
    </row>
    <row r="18" spans="1:11" x14ac:dyDescent="0.25">
      <c r="A18" t="s">
        <v>347</v>
      </c>
      <c r="B18" s="11">
        <v>195</v>
      </c>
      <c r="C18" s="11" t="str">
        <f>IF(Table3[[#This Row],[Current Price]]="","Missing",IF(Table3[[#This Row],[Current Price]]&lt;=Price_Q1,"Low Price",IF(Table3[[#This Row],[Current Price]]&lt;=Price_Q3,"Medium Price","High Price")))</f>
        <v>Low Price</v>
      </c>
      <c r="D18" s="11">
        <v>360</v>
      </c>
      <c r="E18" s="1">
        <v>0.46</v>
      </c>
      <c r="F18" s="1" t="str">
        <f>IF(Table3[[#This Row],[Discount]]="","Missing",IF(Table3[[#This Row],[Discount]]&lt;0.2,"Low Discount",IF(Table3[[#This Row],[Discount]]&lt;=0.4,"Medium Discount","High Discount")))</f>
        <v>High Discount</v>
      </c>
      <c r="G18" s="11">
        <f>Table3[[#This Row],[Old Price]]-Table3[[#This Row],[Current Price]]</f>
        <v>165</v>
      </c>
      <c r="H18">
        <v>2</v>
      </c>
      <c r="I18">
        <v>5</v>
      </c>
      <c r="J18" t="str">
        <f>IF(Table3[[#This Row],[Rating]]="","Missing",IF(Table3[[#This Row],[Rating]]&lt;3,"Poor",IF(Table3[[#This Row],[Rating]]&lt;=4.5,"Average","Excellent")))</f>
        <v>Excellent</v>
      </c>
      <c r="K18" t="str">
        <f>IF(OR(Table3[[#This Row],[Rating]]&lt;0,Table3[[#This Row],[Rating]]&gt;5),"Check rating",IF(OR(Table3[[#This Row],[Discount]]&lt;0,Table3[[#This Row],[Discount]]&gt;1),"Check discount",IF(Table3[[#This Row],[Current Price]]&gt;Table3[[#This Row],[Old Price]],"Check prices","OK")))</f>
        <v>OK</v>
      </c>
    </row>
    <row r="19" spans="1:11" x14ac:dyDescent="0.25">
      <c r="A19" t="s">
        <v>63</v>
      </c>
      <c r="B19" s="11">
        <v>2025</v>
      </c>
      <c r="C19" s="11" t="str">
        <f>IF(Table3[[#This Row],[Current Price]]="","Missing",IF(Table3[[#This Row],[Current Price]]&lt;=Price_Q1,"Low Price",IF(Table3[[#This Row],[Current Price]]&lt;=Price_Q3,"Medium Price","High Price")))</f>
        <v>High Price</v>
      </c>
      <c r="D19" s="11">
        <v>3971</v>
      </c>
      <c r="E19" s="1">
        <v>0.49</v>
      </c>
      <c r="F19" s="1" t="str">
        <f>IF(Table3[[#This Row],[Discount]]="","Missing",IF(Table3[[#This Row],[Discount]]&lt;0.2,"Low Discount",IF(Table3[[#This Row],[Discount]]&lt;=0.4,"Medium Discount","High Discount")))</f>
        <v>High Discount</v>
      </c>
      <c r="G19" s="11">
        <f>Table3[[#This Row],[Old Price]]-Table3[[#This Row],[Current Price]]</f>
        <v>1946</v>
      </c>
      <c r="H19">
        <v>3</v>
      </c>
      <c r="I19">
        <v>5</v>
      </c>
      <c r="J19" t="str">
        <f>IF(Table3[[#This Row],[Rating]]="","Missing",IF(Table3[[#This Row],[Rating]]&lt;3,"Poor",IF(Table3[[#This Row],[Rating]]&lt;=4.5,"Average","Excellent")))</f>
        <v>Excellent</v>
      </c>
      <c r="K19" t="str">
        <f>IF(OR(Table3[[#This Row],[Rating]]&lt;0,Table3[[#This Row],[Rating]]&gt;5),"Check rating",IF(OR(Table3[[#This Row],[Discount]]&lt;0,Table3[[#This Row],[Discount]]&gt;1),"Check discount",IF(Table3[[#This Row],[Current Price]]&gt;Table3[[#This Row],[Old Price]],"Check prices","OK")))</f>
        <v>OK</v>
      </c>
    </row>
    <row r="20" spans="1:11" x14ac:dyDescent="0.25">
      <c r="A20" t="s">
        <v>66</v>
      </c>
      <c r="B20" s="11">
        <v>2999</v>
      </c>
      <c r="C20" s="11" t="str">
        <f>IF(Table3[[#This Row],[Current Price]]="","Missing",IF(Table3[[#This Row],[Current Price]]&lt;=Price_Q1,"Low Price",IF(Table3[[#This Row],[Current Price]]&lt;=Price_Q3,"Medium Price","High Price")))</f>
        <v>High Price</v>
      </c>
      <c r="D20" s="11">
        <v>3699</v>
      </c>
      <c r="E20" s="1">
        <v>0.19</v>
      </c>
      <c r="F20" s="1" t="str">
        <f>IF(Table3[[#This Row],[Discount]]="","Missing",IF(Table3[[#This Row],[Discount]]&lt;0.2,"Low Discount",IF(Table3[[#This Row],[Discount]]&lt;=0.4,"Medium Discount","High Discount")))</f>
        <v>Low Discount</v>
      </c>
      <c r="G20" s="11">
        <f>Table3[[#This Row],[Old Price]]-Table3[[#This Row],[Current Price]]</f>
        <v>700</v>
      </c>
      <c r="H20">
        <v>5</v>
      </c>
      <c r="I20">
        <v>4.5999999999999996</v>
      </c>
      <c r="J20" t="str">
        <f>IF(Table3[[#This Row],[Rating]]="","Missing",IF(Table3[[#This Row],[Rating]]&lt;3,"Poor",IF(Table3[[#This Row],[Rating]]&lt;=4.5,"Average","Excellent")))</f>
        <v>Excellent</v>
      </c>
      <c r="K20" t="str">
        <f>IF(OR(Table3[[#This Row],[Rating]]&lt;0,Table3[[#This Row],[Rating]]&gt;5),"Check rating",IF(OR(Table3[[#This Row],[Discount]]&lt;0,Table3[[#This Row],[Discount]]&gt;1),"Check discount",IF(Table3[[#This Row],[Current Price]]&gt;Table3[[#This Row],[Old Price]],"Check prices","OK")))</f>
        <v>OK</v>
      </c>
    </row>
    <row r="21" spans="1:11" x14ac:dyDescent="0.25">
      <c r="A21" t="s">
        <v>68</v>
      </c>
      <c r="B21" s="11">
        <v>998</v>
      </c>
      <c r="C21" s="11" t="str">
        <f>IF(Table3[[#This Row],[Current Price]]="","Missing",IF(Table3[[#This Row],[Current Price]]&lt;=Price_Q1,"Low Price",IF(Table3[[#This Row],[Current Price]]&lt;=Price_Q3,"Medium Price","High Price")))</f>
        <v>Medium Price</v>
      </c>
      <c r="D21" s="11">
        <v>1966</v>
      </c>
      <c r="E21" s="1">
        <v>0.49</v>
      </c>
      <c r="F21" s="1" t="str">
        <f>IF(Table3[[#This Row],[Discount]]="","Missing",IF(Table3[[#This Row],[Discount]]&lt;0.2,"Low Discount",IF(Table3[[#This Row],[Discount]]&lt;=0.4,"Medium Discount","High Discount")))</f>
        <v>High Discount</v>
      </c>
      <c r="G21" s="11">
        <f>Table3[[#This Row],[Old Price]]-Table3[[#This Row],[Current Price]]</f>
        <v>968</v>
      </c>
      <c r="H21">
        <v>44</v>
      </c>
      <c r="I21">
        <v>4.5999999999999996</v>
      </c>
      <c r="J21" t="str">
        <f>IF(Table3[[#This Row],[Rating]]="","Missing",IF(Table3[[#This Row],[Rating]]&lt;3,"Poor",IF(Table3[[#This Row],[Rating]]&lt;=4.5,"Average","Excellent")))</f>
        <v>Excellent</v>
      </c>
      <c r="K21" t="str">
        <f>IF(OR(Table3[[#This Row],[Rating]]&lt;0,Table3[[#This Row],[Rating]]&gt;5),"Check rating",IF(OR(Table3[[#This Row],[Discount]]&lt;0,Table3[[#This Row],[Discount]]&gt;1),"Check discount",IF(Table3[[#This Row],[Current Price]]&gt;Table3[[#This Row],[Old Price]],"Check prices","OK")))</f>
        <v>OK</v>
      </c>
    </row>
    <row r="22" spans="1:11" x14ac:dyDescent="0.25">
      <c r="A22" t="s">
        <v>71</v>
      </c>
      <c r="B22" s="11">
        <v>38</v>
      </c>
      <c r="C22" s="11" t="str">
        <f>IF(Table3[[#This Row],[Current Price]]="","Missing",IF(Table3[[#This Row],[Current Price]]&lt;=Price_Q1,"Low Price",IF(Table3[[#This Row],[Current Price]]&lt;=Price_Q3,"Medium Price","High Price")))</f>
        <v>Low Price</v>
      </c>
      <c r="D22" s="11">
        <v>80</v>
      </c>
      <c r="E22" s="1">
        <v>0.53</v>
      </c>
      <c r="F22" s="1" t="str">
        <f>IF(Table3[[#This Row],[Discount]]="","Missing",IF(Table3[[#This Row],[Discount]]&lt;0.2,"Low Discount",IF(Table3[[#This Row],[Discount]]&lt;=0.4,"Medium Discount","High Discount")))</f>
        <v>High Discount</v>
      </c>
      <c r="G22" s="11">
        <f>Table3[[#This Row],[Old Price]]-Table3[[#This Row],[Current Price]]</f>
        <v>42</v>
      </c>
      <c r="H22">
        <v>13</v>
      </c>
      <c r="I22">
        <v>3.3</v>
      </c>
      <c r="J22" t="str">
        <f>IF(Table3[[#This Row],[Rating]]="","Missing",IF(Table3[[#This Row],[Rating]]&lt;3,"Poor",IF(Table3[[#This Row],[Rating]]&lt;=4.5,"Average","Excellent")))</f>
        <v>Average</v>
      </c>
      <c r="K22" t="str">
        <f>IF(OR(Table3[[#This Row],[Rating]]&lt;0,Table3[[#This Row],[Rating]]&gt;5),"Check rating",IF(OR(Table3[[#This Row],[Discount]]&lt;0,Table3[[#This Row],[Discount]]&gt;1),"Check discount",IF(Table3[[#This Row],[Current Price]]&gt;Table3[[#This Row],[Old Price]],"Check prices","OK")))</f>
        <v>OK</v>
      </c>
    </row>
    <row r="23" spans="1:11" x14ac:dyDescent="0.25">
      <c r="A23" t="s">
        <v>75</v>
      </c>
      <c r="B23" s="11">
        <v>1860</v>
      </c>
      <c r="C23" s="11" t="str">
        <f>IF(Table3[[#This Row],[Current Price]]="","Missing",IF(Table3[[#This Row],[Current Price]]&lt;=Price_Q1,"Low Price",IF(Table3[[#This Row],[Current Price]]&lt;=Price_Q3,"Medium Price","High Price")))</f>
        <v>High Price</v>
      </c>
      <c r="D23" s="11">
        <v>3220</v>
      </c>
      <c r="E23" s="1">
        <v>0.42</v>
      </c>
      <c r="F23" s="1" t="str">
        <f>IF(Table3[[#This Row],[Discount]]="","Missing",IF(Table3[[#This Row],[Discount]]&lt;0.2,"Low Discount",IF(Table3[[#This Row],[Discount]]&lt;=0.4,"Medium Discount","High Discount")))</f>
        <v>High Discount</v>
      </c>
      <c r="G23" s="11">
        <f>Table3[[#This Row],[Old Price]]-Table3[[#This Row],[Current Price]]</f>
        <v>1360</v>
      </c>
      <c r="H23" t="s">
        <v>358</v>
      </c>
      <c r="I23" t="s">
        <v>358</v>
      </c>
      <c r="J23" t="str">
        <f>IF(Table3[[#This Row],[Rating]]="","Missing",IF(Table3[[#This Row],[Rating]]&lt;3,"Poor",IF(Table3[[#This Row],[Rating]]&lt;=4.5,"Average","Excellent")))</f>
        <v>Missing</v>
      </c>
      <c r="K23" t="str">
        <f>IF(OR(Table3[[#This Row],[Rating]]&lt;0,Table3[[#This Row],[Rating]]&gt;5),"Check rating",IF(OR(Table3[[#This Row],[Discount]]&lt;0,Table3[[#This Row],[Discount]]&gt;1),"Check discount",IF(Table3[[#This Row],[Current Price]]&gt;Table3[[#This Row],[Old Price]],"Check prices","OK")))</f>
        <v>Check rating</v>
      </c>
    </row>
    <row r="24" spans="1:11" x14ac:dyDescent="0.25">
      <c r="A24" t="s">
        <v>78</v>
      </c>
      <c r="B24" s="11">
        <v>880</v>
      </c>
      <c r="C24" s="11" t="str">
        <f>IF(Table3[[#This Row],[Current Price]]="","Missing",IF(Table3[[#This Row],[Current Price]]&lt;=Price_Q1,"Low Price",IF(Table3[[#This Row],[Current Price]]&lt;=Price_Q3,"Medium Price","High Price")))</f>
        <v>Medium Price</v>
      </c>
      <c r="D24" s="11">
        <v>1350</v>
      </c>
      <c r="E24" s="1">
        <v>0.35</v>
      </c>
      <c r="F24" s="1" t="str">
        <f>IF(Table3[[#This Row],[Discount]]="","Missing",IF(Table3[[#This Row],[Discount]]&lt;0.2,"Low Discount",IF(Table3[[#This Row],[Discount]]&lt;=0.4,"Medium Discount","High Discount")))</f>
        <v>Medium Discount</v>
      </c>
      <c r="G24" s="11">
        <f>Table3[[#This Row],[Old Price]]-Table3[[#This Row],[Current Price]]</f>
        <v>470</v>
      </c>
      <c r="H24">
        <v>6</v>
      </c>
      <c r="I24">
        <v>4</v>
      </c>
      <c r="J24" t="str">
        <f>IF(Table3[[#This Row],[Rating]]="","Missing",IF(Table3[[#This Row],[Rating]]&lt;3,"Poor",IF(Table3[[#This Row],[Rating]]&lt;=4.5,"Average","Excellent")))</f>
        <v>Average</v>
      </c>
      <c r="K24" t="str">
        <f>IF(OR(Table3[[#This Row],[Rating]]&lt;0,Table3[[#This Row],[Rating]]&gt;5),"Check rating",IF(OR(Table3[[#This Row],[Discount]]&lt;0,Table3[[#This Row],[Discount]]&gt;1),"Check discount",IF(Table3[[#This Row],[Current Price]]&gt;Table3[[#This Row],[Old Price]],"Check prices","OK")))</f>
        <v>OK</v>
      </c>
    </row>
    <row r="25" spans="1:11" x14ac:dyDescent="0.25">
      <c r="A25" t="s">
        <v>81</v>
      </c>
      <c r="B25" s="11">
        <v>1650</v>
      </c>
      <c r="C25" s="11" t="str">
        <f>IF(Table3[[#This Row],[Current Price]]="","Missing",IF(Table3[[#This Row],[Current Price]]&lt;=Price_Q1,"Low Price",IF(Table3[[#This Row],[Current Price]]&lt;=Price_Q3,"Medium Price","High Price")))</f>
        <v>Medium Price</v>
      </c>
      <c r="D25" s="11">
        <v>2150</v>
      </c>
      <c r="E25" s="1">
        <v>0.23</v>
      </c>
      <c r="F25" s="1" t="str">
        <f>IF(Table3[[#This Row],[Discount]]="","Missing",IF(Table3[[#This Row],[Discount]]&lt;0.2,"Low Discount",IF(Table3[[#This Row],[Discount]]&lt;=0.4,"Medium Discount","High Discount")))</f>
        <v>Medium Discount</v>
      </c>
      <c r="G25" s="11">
        <f>Table3[[#This Row],[Old Price]]-Table3[[#This Row],[Current Price]]</f>
        <v>500</v>
      </c>
      <c r="H25">
        <v>14</v>
      </c>
      <c r="I25">
        <v>4.4000000000000004</v>
      </c>
      <c r="J25" t="str">
        <f>IF(Table3[[#This Row],[Rating]]="","Missing",IF(Table3[[#This Row],[Rating]]&lt;3,"Poor",IF(Table3[[#This Row],[Rating]]&lt;=4.5,"Average","Excellent")))</f>
        <v>Average</v>
      </c>
      <c r="K25" t="str">
        <f>IF(OR(Table3[[#This Row],[Rating]]&lt;0,Table3[[#This Row],[Rating]]&gt;5),"Check rating",IF(OR(Table3[[#This Row],[Discount]]&lt;0,Table3[[#This Row],[Discount]]&gt;1),"Check discount",IF(Table3[[#This Row],[Current Price]]&gt;Table3[[#This Row],[Old Price]],"Check prices","OK")))</f>
        <v>OK</v>
      </c>
    </row>
    <row r="26" spans="1:11" x14ac:dyDescent="0.25">
      <c r="A26" t="s">
        <v>85</v>
      </c>
      <c r="B26" s="11">
        <v>2048</v>
      </c>
      <c r="C26" s="11" t="str">
        <f>IF(Table3[[#This Row],[Current Price]]="","Missing",IF(Table3[[#This Row],[Current Price]]&lt;=Price_Q1,"Low Price",IF(Table3[[#This Row],[Current Price]]&lt;=Price_Q3,"Medium Price","High Price")))</f>
        <v>High Price</v>
      </c>
      <c r="D26" s="11">
        <v>4500</v>
      </c>
      <c r="E26" s="1">
        <v>0.54</v>
      </c>
      <c r="F26" s="1" t="str">
        <f>IF(Table3[[#This Row],[Discount]]="","Missing",IF(Table3[[#This Row],[Discount]]&lt;0.2,"Low Discount",IF(Table3[[#This Row],[Discount]]&lt;=0.4,"Medium Discount","High Discount")))</f>
        <v>High Discount</v>
      </c>
      <c r="G26" s="11">
        <f>Table3[[#This Row],[Old Price]]-Table3[[#This Row],[Current Price]]</f>
        <v>2452</v>
      </c>
      <c r="H26">
        <v>7</v>
      </c>
      <c r="I26">
        <v>4.3</v>
      </c>
      <c r="J26" t="str">
        <f>IF(Table3[[#This Row],[Rating]]="","Missing",IF(Table3[[#This Row],[Rating]]&lt;3,"Poor",IF(Table3[[#This Row],[Rating]]&lt;=4.5,"Average","Excellent")))</f>
        <v>Average</v>
      </c>
      <c r="K26" t="str">
        <f>IF(OR(Table3[[#This Row],[Rating]]&lt;0,Table3[[#This Row],[Rating]]&gt;5),"Check rating",IF(OR(Table3[[#This Row],[Discount]]&lt;0,Table3[[#This Row],[Discount]]&gt;1),"Check discount",IF(Table3[[#This Row],[Current Price]]&gt;Table3[[#This Row],[Old Price]],"Check prices","OK")))</f>
        <v>OK</v>
      </c>
    </row>
    <row r="27" spans="1:11" x14ac:dyDescent="0.25">
      <c r="A27" t="s">
        <v>89</v>
      </c>
      <c r="B27" s="11">
        <v>420</v>
      </c>
      <c r="C27" s="11" t="str">
        <f>IF(Table3[[#This Row],[Current Price]]="","Missing",IF(Table3[[#This Row],[Current Price]]&lt;=Price_Q1,"Low Price",IF(Table3[[#This Row],[Current Price]]&lt;=Price_Q3,"Medium Price","High Price")))</f>
        <v>Low Price</v>
      </c>
      <c r="D27" s="11">
        <v>647</v>
      </c>
      <c r="E27" s="1">
        <v>0.35</v>
      </c>
      <c r="F27" s="1" t="str">
        <f>IF(Table3[[#This Row],[Discount]]="","Missing",IF(Table3[[#This Row],[Discount]]&lt;0.2,"Low Discount",IF(Table3[[#This Row],[Discount]]&lt;=0.4,"Medium Discount","High Discount")))</f>
        <v>Medium Discount</v>
      </c>
      <c r="G27" s="11">
        <f>Table3[[#This Row],[Old Price]]-Table3[[#This Row],[Current Price]]</f>
        <v>227</v>
      </c>
      <c r="H27">
        <v>49</v>
      </c>
      <c r="I27">
        <v>4.5999999999999996</v>
      </c>
      <c r="J27" t="str">
        <f>IF(Table3[[#This Row],[Rating]]="","Missing",IF(Table3[[#This Row],[Rating]]&lt;3,"Poor",IF(Table3[[#This Row],[Rating]]&lt;=4.5,"Average","Excellent")))</f>
        <v>Excellent</v>
      </c>
      <c r="K27" t="str">
        <f>IF(OR(Table3[[#This Row],[Rating]]&lt;0,Table3[[#This Row],[Rating]]&gt;5),"Check rating",IF(OR(Table3[[#This Row],[Discount]]&lt;0,Table3[[#This Row],[Discount]]&gt;1),"Check discount",IF(Table3[[#This Row],[Current Price]]&gt;Table3[[#This Row],[Old Price]],"Check prices","OK")))</f>
        <v>OK</v>
      </c>
    </row>
    <row r="28" spans="1:11" x14ac:dyDescent="0.25">
      <c r="A28" t="s">
        <v>92</v>
      </c>
      <c r="B28" s="11">
        <v>2880</v>
      </c>
      <c r="C28" s="11" t="str">
        <f>IF(Table3[[#This Row],[Current Price]]="","Missing",IF(Table3[[#This Row],[Current Price]]&lt;=Price_Q1,"Low Price",IF(Table3[[#This Row],[Current Price]]&lt;=Price_Q3,"Medium Price","High Price")))</f>
        <v>High Price</v>
      </c>
      <c r="D28" s="11">
        <v>3520</v>
      </c>
      <c r="E28" s="1">
        <v>0.18</v>
      </c>
      <c r="F28" s="1" t="str">
        <f>IF(Table3[[#This Row],[Discount]]="","Missing",IF(Table3[[#This Row],[Discount]]&lt;0.2,"Low Discount",IF(Table3[[#This Row],[Discount]]&lt;=0.4,"Medium Discount","High Discount")))</f>
        <v>Low Discount</v>
      </c>
      <c r="G28" s="11">
        <f>Table3[[#This Row],[Old Price]]-Table3[[#This Row],[Current Price]]</f>
        <v>640</v>
      </c>
      <c r="H28">
        <v>12</v>
      </c>
      <c r="I28">
        <v>3.8</v>
      </c>
      <c r="J28" t="str">
        <f>IF(Table3[[#This Row],[Rating]]="","Missing",IF(Table3[[#This Row],[Rating]]&lt;3,"Poor",IF(Table3[[#This Row],[Rating]]&lt;=4.5,"Average","Excellent")))</f>
        <v>Average</v>
      </c>
      <c r="K28" t="str">
        <f>IF(OR(Table3[[#This Row],[Rating]]&lt;0,Table3[[#This Row],[Rating]]&gt;5),"Check rating",IF(OR(Table3[[#This Row],[Discount]]&lt;0,Table3[[#This Row],[Discount]]&gt;1),"Check discount",IF(Table3[[#This Row],[Current Price]]&gt;Table3[[#This Row],[Old Price]],"Check prices","OK")))</f>
        <v>OK</v>
      </c>
    </row>
    <row r="29" spans="1:11" x14ac:dyDescent="0.25">
      <c r="A29" t="s">
        <v>95</v>
      </c>
      <c r="B29" s="11">
        <v>1350</v>
      </c>
      <c r="C29" s="11" t="str">
        <f>IF(Table3[[#This Row],[Current Price]]="","Missing",IF(Table3[[#This Row],[Current Price]]&lt;=Price_Q1,"Low Price",IF(Table3[[#This Row],[Current Price]]&lt;=Price_Q3,"Medium Price","High Price")))</f>
        <v>Medium Price</v>
      </c>
      <c r="D29" s="11">
        <v>1990</v>
      </c>
      <c r="E29" s="1">
        <v>0.32</v>
      </c>
      <c r="F29" s="1" t="str">
        <f>IF(Table3[[#This Row],[Discount]]="","Missing",IF(Table3[[#This Row],[Discount]]&lt;0.2,"Low Discount",IF(Table3[[#This Row],[Discount]]&lt;=0.4,"Medium Discount","High Discount")))</f>
        <v>Medium Discount</v>
      </c>
      <c r="G29" s="11">
        <f>Table3[[#This Row],[Old Price]]-Table3[[#This Row],[Current Price]]</f>
        <v>640</v>
      </c>
      <c r="H29">
        <v>13</v>
      </c>
      <c r="I29">
        <v>3.8</v>
      </c>
      <c r="J29" t="str">
        <f>IF(Table3[[#This Row],[Rating]]="","Missing",IF(Table3[[#This Row],[Rating]]&lt;3,"Poor",IF(Table3[[#This Row],[Rating]]&lt;=4.5,"Average","Excellent")))</f>
        <v>Average</v>
      </c>
      <c r="K29" t="str">
        <f>IF(OR(Table3[[#This Row],[Rating]]&lt;0,Table3[[#This Row],[Rating]]&gt;5),"Check rating",IF(OR(Table3[[#This Row],[Discount]]&lt;0,Table3[[#This Row],[Discount]]&gt;1),"Check discount",IF(Table3[[#This Row],[Current Price]]&gt;Table3[[#This Row],[Old Price]],"Check prices","OK")))</f>
        <v>OK</v>
      </c>
    </row>
    <row r="30" spans="1:11" x14ac:dyDescent="0.25">
      <c r="A30" t="s">
        <v>97</v>
      </c>
      <c r="B30" s="11">
        <v>1758</v>
      </c>
      <c r="C30" s="11" t="str">
        <f>IF(Table3[[#This Row],[Current Price]]="","Missing",IF(Table3[[#This Row],[Current Price]]&lt;=Price_Q1,"Low Price",IF(Table3[[#This Row],[Current Price]]&lt;=Price_Q3,"Medium Price","High Price")))</f>
        <v>High Price</v>
      </c>
      <c r="D30" s="11">
        <v>2499</v>
      </c>
      <c r="E30" s="1">
        <v>0.3</v>
      </c>
      <c r="F30" s="1" t="str">
        <f>IF(Table3[[#This Row],[Discount]]="","Missing",IF(Table3[[#This Row],[Discount]]&lt;0.2,"Low Discount",IF(Table3[[#This Row],[Discount]]&lt;=0.4,"Medium Discount","High Discount")))</f>
        <v>Medium Discount</v>
      </c>
      <c r="G30" s="11">
        <f>Table3[[#This Row],[Old Price]]-Table3[[#This Row],[Current Price]]</f>
        <v>741</v>
      </c>
      <c r="H30">
        <v>20</v>
      </c>
      <c r="I30">
        <v>4.0999999999999996</v>
      </c>
      <c r="J30" t="str">
        <f>IF(Table3[[#This Row],[Rating]]="","Missing",IF(Table3[[#This Row],[Rating]]&lt;3,"Poor",IF(Table3[[#This Row],[Rating]]&lt;=4.5,"Average","Excellent")))</f>
        <v>Average</v>
      </c>
      <c r="K30" t="str">
        <f>IF(OR(Table3[[#This Row],[Rating]]&lt;0,Table3[[#This Row],[Rating]]&gt;5),"Check rating",IF(OR(Table3[[#This Row],[Discount]]&lt;0,Table3[[#This Row],[Discount]]&gt;1),"Check discount",IF(Table3[[#This Row],[Current Price]]&gt;Table3[[#This Row],[Old Price]],"Check prices","OK")))</f>
        <v>OK</v>
      </c>
    </row>
    <row r="31" spans="1:11" x14ac:dyDescent="0.25">
      <c r="A31" t="s">
        <v>99</v>
      </c>
      <c r="B31" s="11">
        <v>2200</v>
      </c>
      <c r="C31" s="11" t="str">
        <f>IF(Table3[[#This Row],[Current Price]]="","Missing",IF(Table3[[#This Row],[Current Price]]&lt;=Price_Q1,"Low Price",IF(Table3[[#This Row],[Current Price]]&lt;=Price_Q3,"Medium Price","High Price")))</f>
        <v>High Price</v>
      </c>
      <c r="D31" s="11">
        <v>4080</v>
      </c>
      <c r="E31" s="1">
        <v>0.46</v>
      </c>
      <c r="F31" s="1" t="str">
        <f>IF(Table3[[#This Row],[Discount]]="","Missing",IF(Table3[[#This Row],[Discount]]&lt;0.2,"Low Discount",IF(Table3[[#This Row],[Discount]]&lt;=0.4,"Medium Discount","High Discount")))</f>
        <v>High Discount</v>
      </c>
      <c r="G31" s="11">
        <f>Table3[[#This Row],[Old Price]]-Table3[[#This Row],[Current Price]]</f>
        <v>1880</v>
      </c>
      <c r="H31" t="s">
        <v>358</v>
      </c>
      <c r="I31" t="s">
        <v>358</v>
      </c>
      <c r="J31" t="str">
        <f>IF(Table3[[#This Row],[Rating]]="","Missing",IF(Table3[[#This Row],[Rating]]&lt;3,"Poor",IF(Table3[[#This Row],[Rating]]&lt;=4.5,"Average","Excellent")))</f>
        <v>Missing</v>
      </c>
      <c r="K31" t="str">
        <f>IF(OR(Table3[[#This Row],[Rating]]&lt;0,Table3[[#This Row],[Rating]]&gt;5),"Check rating",IF(OR(Table3[[#This Row],[Discount]]&lt;0,Table3[[#This Row],[Discount]]&gt;1),"Check discount",IF(Table3[[#This Row],[Current Price]]&gt;Table3[[#This Row],[Old Price]],"Check prices","OK")))</f>
        <v>Check rating</v>
      </c>
    </row>
    <row r="32" spans="1:11" x14ac:dyDescent="0.25">
      <c r="A32" t="s">
        <v>102</v>
      </c>
      <c r="B32" s="11">
        <v>185</v>
      </c>
      <c r="C32" s="11" t="str">
        <f>IF(Table3[[#This Row],[Current Price]]="","Missing",IF(Table3[[#This Row],[Current Price]]&lt;=Price_Q1,"Low Price",IF(Table3[[#This Row],[Current Price]]&lt;=Price_Q3,"Medium Price","High Price")))</f>
        <v>Low Price</v>
      </c>
      <c r="D32" s="11">
        <v>382</v>
      </c>
      <c r="E32" s="1">
        <v>0.52</v>
      </c>
      <c r="F32" s="1" t="str">
        <f>IF(Table3[[#This Row],[Discount]]="","Missing",IF(Table3[[#This Row],[Discount]]&lt;0.2,"Low Discount",IF(Table3[[#This Row],[Discount]]&lt;=0.4,"Medium Discount","High Discount")))</f>
        <v>High Discount</v>
      </c>
      <c r="G32" s="11">
        <f>Table3[[#This Row],[Old Price]]-Table3[[#This Row],[Current Price]]</f>
        <v>197</v>
      </c>
      <c r="H32">
        <v>9</v>
      </c>
      <c r="I32">
        <v>4.3</v>
      </c>
      <c r="J32" t="str">
        <f>IF(Table3[[#This Row],[Rating]]="","Missing",IF(Table3[[#This Row],[Rating]]&lt;3,"Poor",IF(Table3[[#This Row],[Rating]]&lt;=4.5,"Average","Excellent")))</f>
        <v>Average</v>
      </c>
      <c r="K32" t="str">
        <f>IF(OR(Table3[[#This Row],[Rating]]&lt;0,Table3[[#This Row],[Rating]]&gt;5),"Check rating",IF(OR(Table3[[#This Row],[Discount]]&lt;0,Table3[[#This Row],[Discount]]&gt;1),"Check discount",IF(Table3[[#This Row],[Current Price]]&gt;Table3[[#This Row],[Old Price]],"Check prices","OK")))</f>
        <v>OK</v>
      </c>
    </row>
    <row r="33" spans="1:11" x14ac:dyDescent="0.25">
      <c r="A33" t="s">
        <v>105</v>
      </c>
      <c r="B33" s="11">
        <v>980</v>
      </c>
      <c r="C33" s="11" t="str">
        <f>IF(Table3[[#This Row],[Current Price]]="","Missing",IF(Table3[[#This Row],[Current Price]]&lt;=Price_Q1,"Low Price",IF(Table3[[#This Row],[Current Price]]&lt;=Price_Q3,"Medium Price","High Price")))</f>
        <v>Medium Price</v>
      </c>
      <c r="D33" s="11">
        <v>1490</v>
      </c>
      <c r="E33" s="1">
        <v>0.34</v>
      </c>
      <c r="F33" s="1" t="str">
        <f>IF(Table3[[#This Row],[Discount]]="","Missing",IF(Table3[[#This Row],[Discount]]&lt;0.2,"Low Discount",IF(Table3[[#This Row],[Discount]]&lt;=0.4,"Medium Discount","High Discount")))</f>
        <v>Medium Discount</v>
      </c>
      <c r="G33" s="11">
        <f>Table3[[#This Row],[Old Price]]-Table3[[#This Row],[Current Price]]</f>
        <v>510</v>
      </c>
      <c r="H33">
        <v>12</v>
      </c>
      <c r="I33">
        <v>4.7</v>
      </c>
      <c r="J33" t="str">
        <f>IF(Table3[[#This Row],[Rating]]="","Missing",IF(Table3[[#This Row],[Rating]]&lt;3,"Poor",IF(Table3[[#This Row],[Rating]]&lt;=4.5,"Average","Excellent")))</f>
        <v>Excellent</v>
      </c>
      <c r="K33" t="str">
        <f>IF(OR(Table3[[#This Row],[Rating]]&lt;0,Table3[[#This Row],[Rating]]&gt;5),"Check rating",IF(OR(Table3[[#This Row],[Discount]]&lt;0,Table3[[#This Row],[Discount]]&gt;1),"Check discount",IF(Table3[[#This Row],[Current Price]]&gt;Table3[[#This Row],[Old Price]],"Check prices","OK")))</f>
        <v>OK</v>
      </c>
    </row>
    <row r="34" spans="1:11" x14ac:dyDescent="0.25">
      <c r="A34" t="s">
        <v>348</v>
      </c>
      <c r="B34" s="11">
        <v>1820</v>
      </c>
      <c r="C34" s="11" t="str">
        <f>IF(Table3[[#This Row],[Current Price]]="","Missing",IF(Table3[[#This Row],[Current Price]]&lt;=Price_Q1,"Low Price",IF(Table3[[#This Row],[Current Price]]&lt;=Price_Q3,"Medium Price","High Price")))</f>
        <v>High Price</v>
      </c>
      <c r="D34" s="11">
        <v>3490</v>
      </c>
      <c r="E34" s="1">
        <v>0.48</v>
      </c>
      <c r="F34" s="1" t="str">
        <f>IF(Table3[[#This Row],[Discount]]="","Missing",IF(Table3[[#This Row],[Discount]]&lt;0.2,"Low Discount",IF(Table3[[#This Row],[Discount]]&lt;=0.4,"Medium Discount","High Discount")))</f>
        <v>High Discount</v>
      </c>
      <c r="G34" s="11">
        <f>Table3[[#This Row],[Old Price]]-Table3[[#This Row],[Current Price]]</f>
        <v>1670</v>
      </c>
      <c r="H34">
        <v>9</v>
      </c>
      <c r="I34">
        <v>4.3</v>
      </c>
      <c r="J34" t="str">
        <f>IF(Table3[[#This Row],[Rating]]="","Missing",IF(Table3[[#This Row],[Rating]]&lt;3,"Poor",IF(Table3[[#This Row],[Rating]]&lt;=4.5,"Average","Excellent")))</f>
        <v>Average</v>
      </c>
      <c r="K34" t="str">
        <f>IF(OR(Table3[[#This Row],[Rating]]&lt;0,Table3[[#This Row],[Rating]]&gt;5),"Check rating",IF(OR(Table3[[#This Row],[Discount]]&lt;0,Table3[[#This Row],[Discount]]&gt;1),"Check discount",IF(Table3[[#This Row],[Current Price]]&gt;Table3[[#This Row],[Old Price]],"Check prices","OK")))</f>
        <v>OK</v>
      </c>
    </row>
    <row r="35" spans="1:11" x14ac:dyDescent="0.25">
      <c r="A35" t="s">
        <v>111</v>
      </c>
      <c r="B35" s="11">
        <v>1940</v>
      </c>
      <c r="C35" s="11" t="str">
        <f>IF(Table3[[#This Row],[Current Price]]="","Missing",IF(Table3[[#This Row],[Current Price]]&lt;=Price_Q1,"Low Price",IF(Table3[[#This Row],[Current Price]]&lt;=Price_Q3,"Medium Price","High Price")))</f>
        <v>High Price</v>
      </c>
      <c r="D35" s="11">
        <v>2650</v>
      </c>
      <c r="E35" s="1">
        <v>0.27</v>
      </c>
      <c r="F35" s="1" t="str">
        <f>IF(Table3[[#This Row],[Discount]]="","Missing",IF(Table3[[#This Row],[Discount]]&lt;0.2,"Low Discount",IF(Table3[[#This Row],[Discount]]&lt;=0.4,"Medium Discount","High Discount")))</f>
        <v>Medium Discount</v>
      </c>
      <c r="G35" s="11">
        <f>Table3[[#This Row],[Old Price]]-Table3[[#This Row],[Current Price]]</f>
        <v>710</v>
      </c>
      <c r="H35">
        <v>20</v>
      </c>
      <c r="I35">
        <v>4.7</v>
      </c>
      <c r="J35" t="str">
        <f>IF(Table3[[#This Row],[Rating]]="","Missing",IF(Table3[[#This Row],[Rating]]&lt;3,"Poor",IF(Table3[[#This Row],[Rating]]&lt;=4.5,"Average","Excellent")))</f>
        <v>Excellent</v>
      </c>
      <c r="K35" t="str">
        <f>IF(OR(Table3[[#This Row],[Rating]]&lt;0,Table3[[#This Row],[Rating]]&gt;5),"Check rating",IF(OR(Table3[[#This Row],[Discount]]&lt;0,Table3[[#This Row],[Discount]]&gt;1),"Check discount",IF(Table3[[#This Row],[Current Price]]&gt;Table3[[#This Row],[Old Price]],"Check prices","OK")))</f>
        <v>OK</v>
      </c>
    </row>
    <row r="36" spans="1:11" x14ac:dyDescent="0.25">
      <c r="A36" t="s">
        <v>114</v>
      </c>
      <c r="B36" s="11">
        <v>1980</v>
      </c>
      <c r="C36" s="11" t="str">
        <f>IF(Table3[[#This Row],[Current Price]]="","Missing",IF(Table3[[#This Row],[Current Price]]&lt;=Price_Q1,"Low Price",IF(Table3[[#This Row],[Current Price]]&lt;=Price_Q3,"Medium Price","High Price")))</f>
        <v>High Price</v>
      </c>
      <c r="D36" s="11">
        <v>2699</v>
      </c>
      <c r="E36" s="1">
        <v>0.27</v>
      </c>
      <c r="F36" s="1" t="str">
        <f>IF(Table3[[#This Row],[Discount]]="","Missing",IF(Table3[[#This Row],[Discount]]&lt;0.2,"Low Discount",IF(Table3[[#This Row],[Discount]]&lt;=0.4,"Medium Discount","High Discount")))</f>
        <v>Medium Discount</v>
      </c>
      <c r="G36" s="11">
        <f>Table3[[#This Row],[Old Price]]-Table3[[#This Row],[Current Price]]</f>
        <v>719</v>
      </c>
      <c r="H36">
        <v>32</v>
      </c>
      <c r="I36">
        <v>4.5</v>
      </c>
      <c r="J36" t="str">
        <f>IF(Table3[[#This Row],[Rating]]="","Missing",IF(Table3[[#This Row],[Rating]]&lt;3,"Poor",IF(Table3[[#This Row],[Rating]]&lt;=4.5,"Average","Excellent")))</f>
        <v>Average</v>
      </c>
      <c r="K36" t="str">
        <f>IF(OR(Table3[[#This Row],[Rating]]&lt;0,Table3[[#This Row],[Rating]]&gt;5),"Check rating",IF(OR(Table3[[#This Row],[Discount]]&lt;0,Table3[[#This Row],[Discount]]&gt;1),"Check discount",IF(Table3[[#This Row],[Current Price]]&gt;Table3[[#This Row],[Old Price]],"Check prices","OK")))</f>
        <v>OK</v>
      </c>
    </row>
    <row r="37" spans="1:11" x14ac:dyDescent="0.25">
      <c r="A37" t="s">
        <v>117</v>
      </c>
      <c r="B37" s="11">
        <v>1620</v>
      </c>
      <c r="C37" s="11" t="str">
        <f>IF(Table3[[#This Row],[Current Price]]="","Missing",IF(Table3[[#This Row],[Current Price]]&lt;=Price_Q1,"Low Price",IF(Table3[[#This Row],[Current Price]]&lt;=Price_Q3,"Medium Price","High Price")))</f>
        <v>Medium Price</v>
      </c>
      <c r="D37" s="11">
        <v>2690</v>
      </c>
      <c r="E37" s="1">
        <v>0.4</v>
      </c>
      <c r="F37" s="1" t="str">
        <f>IF(Table3[[#This Row],[Discount]]="","Missing",IF(Table3[[#This Row],[Discount]]&lt;0.2,"Low Discount",IF(Table3[[#This Row],[Discount]]&lt;=0.4,"Medium Discount","High Discount")))</f>
        <v>Medium Discount</v>
      </c>
      <c r="G37" s="11">
        <f>Table3[[#This Row],[Old Price]]-Table3[[#This Row],[Current Price]]</f>
        <v>1070</v>
      </c>
      <c r="H37">
        <v>1</v>
      </c>
      <c r="I37">
        <v>5</v>
      </c>
      <c r="J37" t="str">
        <f>IF(Table3[[#This Row],[Rating]]="","Missing",IF(Table3[[#This Row],[Rating]]&lt;3,"Poor",IF(Table3[[#This Row],[Rating]]&lt;=4.5,"Average","Excellent")))</f>
        <v>Excellent</v>
      </c>
      <c r="K37" t="str">
        <f>IF(OR(Table3[[#This Row],[Rating]]&lt;0,Table3[[#This Row],[Rating]]&gt;5),"Check rating",IF(OR(Table3[[#This Row],[Discount]]&lt;0,Table3[[#This Row],[Discount]]&gt;1),"Check discount",IF(Table3[[#This Row],[Current Price]]&gt;Table3[[#This Row],[Old Price]],"Check prices","OK")))</f>
        <v>OK</v>
      </c>
    </row>
    <row r="38" spans="1:11" x14ac:dyDescent="0.25">
      <c r="A38" t="s">
        <v>120</v>
      </c>
      <c r="B38" s="11">
        <v>171</v>
      </c>
      <c r="C38" s="11" t="str">
        <f>IF(Table3[[#This Row],[Current Price]]="","Missing",IF(Table3[[#This Row],[Current Price]]&lt;=Price_Q1,"Low Price",IF(Table3[[#This Row],[Current Price]]&lt;=Price_Q3,"Medium Price","High Price")))</f>
        <v>Low Price</v>
      </c>
      <c r="D38" s="11">
        <v>360</v>
      </c>
      <c r="E38" s="1">
        <v>0.53</v>
      </c>
      <c r="F38" s="1" t="str">
        <f>IF(Table3[[#This Row],[Discount]]="","Missing",IF(Table3[[#This Row],[Discount]]&lt;0.2,"Low Discount",IF(Table3[[#This Row],[Discount]]&lt;=0.4,"Medium Discount","High Discount")))</f>
        <v>High Discount</v>
      </c>
      <c r="G38" s="11">
        <f>Table3[[#This Row],[Old Price]]-Table3[[#This Row],[Current Price]]</f>
        <v>189</v>
      </c>
      <c r="H38">
        <v>2</v>
      </c>
      <c r="I38">
        <v>5</v>
      </c>
      <c r="J38" t="str">
        <f>IF(Table3[[#This Row],[Rating]]="","Missing",IF(Table3[[#This Row],[Rating]]&lt;3,"Poor",IF(Table3[[#This Row],[Rating]]&lt;=4.5,"Average","Excellent")))</f>
        <v>Excellent</v>
      </c>
      <c r="K38" t="str">
        <f>IF(OR(Table3[[#This Row],[Rating]]&lt;0,Table3[[#This Row],[Rating]]&gt;5),"Check rating",IF(OR(Table3[[#This Row],[Discount]]&lt;0,Table3[[#This Row],[Discount]]&gt;1),"Check discount",IF(Table3[[#This Row],[Current Price]]&gt;Table3[[#This Row],[Old Price]],"Check prices","OK")))</f>
        <v>OK</v>
      </c>
    </row>
    <row r="39" spans="1:11" x14ac:dyDescent="0.25">
      <c r="A39" t="s">
        <v>122</v>
      </c>
      <c r="B39" s="11">
        <v>389</v>
      </c>
      <c r="C39" s="11" t="str">
        <f>IF(Table3[[#This Row],[Current Price]]="","Missing",IF(Table3[[#This Row],[Current Price]]&lt;=Price_Q1,"Low Price",IF(Table3[[#This Row],[Current Price]]&lt;=Price_Q3,"Medium Price","High Price")))</f>
        <v>Low Price</v>
      </c>
      <c r="D39" s="11">
        <v>656</v>
      </c>
      <c r="E39" s="1">
        <v>0.41</v>
      </c>
      <c r="F39" s="1" t="str">
        <f>IF(Table3[[#This Row],[Discount]]="","Missing",IF(Table3[[#This Row],[Discount]]&lt;0.2,"Low Discount",IF(Table3[[#This Row],[Discount]]&lt;=0.4,"Medium Discount","High Discount")))</f>
        <v>High Discount</v>
      </c>
      <c r="G39" s="11">
        <f>Table3[[#This Row],[Old Price]]-Table3[[#This Row],[Current Price]]</f>
        <v>267</v>
      </c>
      <c r="H39">
        <v>36</v>
      </c>
      <c r="I39">
        <v>4.3</v>
      </c>
      <c r="J39" t="str">
        <f>IF(Table3[[#This Row],[Rating]]="","Missing",IF(Table3[[#This Row],[Rating]]&lt;3,"Poor",IF(Table3[[#This Row],[Rating]]&lt;=4.5,"Average","Excellent")))</f>
        <v>Average</v>
      </c>
      <c r="K39" t="str">
        <f>IF(OR(Table3[[#This Row],[Rating]]&lt;0,Table3[[#This Row],[Rating]]&gt;5),"Check rating",IF(OR(Table3[[#This Row],[Discount]]&lt;0,Table3[[#This Row],[Discount]]&gt;1),"Check discount",IF(Table3[[#This Row],[Current Price]]&gt;Table3[[#This Row],[Old Price]],"Check prices","OK")))</f>
        <v>OK</v>
      </c>
    </row>
    <row r="40" spans="1:11" x14ac:dyDescent="0.25">
      <c r="A40" t="s">
        <v>125</v>
      </c>
      <c r="B40" s="11">
        <v>1800</v>
      </c>
      <c r="C40" s="11" t="str">
        <f>IF(Table3[[#This Row],[Current Price]]="","Missing",IF(Table3[[#This Row],[Current Price]]&lt;=Price_Q1,"Low Price",IF(Table3[[#This Row],[Current Price]]&lt;=Price_Q3,"Medium Price","High Price")))</f>
        <v>High Price</v>
      </c>
      <c r="D40" s="11">
        <v>2700</v>
      </c>
      <c r="E40" s="1">
        <v>0.38</v>
      </c>
      <c r="F40" s="1" t="str">
        <f>IF(Table3[[#This Row],[Discount]]="","Missing",IF(Table3[[#This Row],[Discount]]&lt;0.2,"Low Discount",IF(Table3[[#This Row],[Discount]]&lt;=0.4,"Medium Discount","High Discount")))</f>
        <v>Medium Discount</v>
      </c>
      <c r="G40" s="11">
        <f>Table3[[#This Row],[Old Price]]-Table3[[#This Row],[Current Price]]</f>
        <v>900</v>
      </c>
      <c r="H40">
        <v>2</v>
      </c>
      <c r="I40">
        <v>4.5</v>
      </c>
      <c r="J40" t="str">
        <f>IF(Table3[[#This Row],[Rating]]="","Missing",IF(Table3[[#This Row],[Rating]]&lt;3,"Poor",IF(Table3[[#This Row],[Rating]]&lt;=4.5,"Average","Excellent")))</f>
        <v>Average</v>
      </c>
      <c r="K40" t="str">
        <f>IF(OR(Table3[[#This Row],[Rating]]&lt;0,Table3[[#This Row],[Rating]]&gt;5),"Check rating",IF(OR(Table3[[#This Row],[Discount]]&lt;0,Table3[[#This Row],[Discount]]&gt;1),"Check discount",IF(Table3[[#This Row],[Current Price]]&gt;Table3[[#This Row],[Old Price]],"Check prices","OK")))</f>
        <v>OK</v>
      </c>
    </row>
    <row r="41" spans="1:11" x14ac:dyDescent="0.25">
      <c r="A41" t="s">
        <v>128</v>
      </c>
      <c r="B41" s="11">
        <v>2750</v>
      </c>
      <c r="C41" s="11" t="str">
        <f>IF(Table3[[#This Row],[Current Price]]="","Missing",IF(Table3[[#This Row],[Current Price]]&lt;=Price_Q1,"Low Price",IF(Table3[[#This Row],[Current Price]]&lt;=Price_Q3,"Medium Price","High Price")))</f>
        <v>High Price</v>
      </c>
      <c r="D41" s="11">
        <v>4471</v>
      </c>
      <c r="E41" s="1">
        <v>0.38</v>
      </c>
      <c r="F41" s="1" t="str">
        <f>IF(Table3[[#This Row],[Discount]]="","Missing",IF(Table3[[#This Row],[Discount]]&lt;0.2,"Low Discount",IF(Table3[[#This Row],[Discount]]&lt;=0.4,"Medium Discount","High Discount")))</f>
        <v>Medium Discount</v>
      </c>
      <c r="G41" s="11">
        <f>Table3[[#This Row],[Old Price]]-Table3[[#This Row],[Current Price]]</f>
        <v>1721</v>
      </c>
      <c r="H41" t="s">
        <v>358</v>
      </c>
      <c r="I41" t="s">
        <v>358</v>
      </c>
      <c r="J41" t="str">
        <f>IF(Table3[[#This Row],[Rating]]="","Missing",IF(Table3[[#This Row],[Rating]]&lt;3,"Poor",IF(Table3[[#This Row],[Rating]]&lt;=4.5,"Average","Excellent")))</f>
        <v>Missing</v>
      </c>
      <c r="K41" t="str">
        <f>IF(OR(Table3[[#This Row],[Rating]]&lt;0,Table3[[#This Row],[Rating]]&gt;5),"Check rating",IF(OR(Table3[[#This Row],[Discount]]&lt;0,Table3[[#This Row],[Discount]]&gt;1),"Check discount",IF(Table3[[#This Row],[Current Price]]&gt;Table3[[#This Row],[Old Price]],"Check prices","OK")))</f>
        <v>Check rating</v>
      </c>
    </row>
    <row r="42" spans="1:11" x14ac:dyDescent="0.25">
      <c r="A42" t="s">
        <v>131</v>
      </c>
      <c r="B42" s="11">
        <v>475</v>
      </c>
      <c r="C42" s="11" t="str">
        <f>IF(Table3[[#This Row],[Current Price]]="","Missing",IF(Table3[[#This Row],[Current Price]]&lt;=Price_Q1,"Low Price",IF(Table3[[#This Row],[Current Price]]&lt;=Price_Q3,"Medium Price","High Price")))</f>
        <v>Low Price</v>
      </c>
      <c r="D42" s="11">
        <v>931</v>
      </c>
      <c r="E42" s="1">
        <v>0.49</v>
      </c>
      <c r="F42" s="1" t="str">
        <f>IF(Table3[[#This Row],[Discount]]="","Missing",IF(Table3[[#This Row],[Discount]]&lt;0.2,"Low Discount",IF(Table3[[#This Row],[Discount]]&lt;=0.4,"Medium Discount","High Discount")))</f>
        <v>High Discount</v>
      </c>
      <c r="G42" s="11">
        <f>Table3[[#This Row],[Old Price]]-Table3[[#This Row],[Current Price]]</f>
        <v>456</v>
      </c>
      <c r="H42" t="s">
        <v>358</v>
      </c>
      <c r="I42" t="s">
        <v>358</v>
      </c>
      <c r="J42" t="str">
        <f>IF(Table3[[#This Row],[Rating]]="","Missing",IF(Table3[[#This Row],[Rating]]&lt;3,"Poor",IF(Table3[[#This Row],[Rating]]&lt;=4.5,"Average","Excellent")))</f>
        <v>Missing</v>
      </c>
      <c r="K42" t="str">
        <f>IF(OR(Table3[[#This Row],[Rating]]&lt;0,Table3[[#This Row],[Rating]]&gt;5),"Check rating",IF(OR(Table3[[#This Row],[Discount]]&lt;0,Table3[[#This Row],[Discount]]&gt;1),"Check discount",IF(Table3[[#This Row],[Current Price]]&gt;Table3[[#This Row],[Old Price]],"Check prices","OK")))</f>
        <v>Check rating</v>
      </c>
    </row>
    <row r="43" spans="1:11" x14ac:dyDescent="0.25">
      <c r="A43" t="s">
        <v>134</v>
      </c>
      <c r="B43" s="11">
        <v>238</v>
      </c>
      <c r="C43" s="11" t="str">
        <f>IF(Table3[[#This Row],[Current Price]]="","Missing",IF(Table3[[#This Row],[Current Price]]&lt;=Price_Q1,"Low Price",IF(Table3[[#This Row],[Current Price]]&lt;=Price_Q3,"Medium Price","High Price")))</f>
        <v>Low Price</v>
      </c>
      <c r="D43" s="11">
        <v>476</v>
      </c>
      <c r="E43" s="1">
        <v>0.5</v>
      </c>
      <c r="F43" s="1" t="str">
        <f>IF(Table3[[#This Row],[Discount]]="","Missing",IF(Table3[[#This Row],[Discount]]&lt;0.2,"Low Discount",IF(Table3[[#This Row],[Discount]]&lt;=0.4,"Medium Discount","High Discount")))</f>
        <v>High Discount</v>
      </c>
      <c r="G43" s="11">
        <f>Table3[[#This Row],[Old Price]]-Table3[[#This Row],[Current Price]]</f>
        <v>238</v>
      </c>
      <c r="H43" t="s">
        <v>358</v>
      </c>
      <c r="I43" t="s">
        <v>358</v>
      </c>
      <c r="J43" t="str">
        <f>IF(Table3[[#This Row],[Rating]]="","Missing",IF(Table3[[#This Row],[Rating]]&lt;3,"Poor",IF(Table3[[#This Row],[Rating]]&lt;=4.5,"Average","Excellent")))</f>
        <v>Missing</v>
      </c>
      <c r="K43" t="str">
        <f>IF(OR(Table3[[#This Row],[Rating]]&lt;0,Table3[[#This Row],[Rating]]&gt;5),"Check rating",IF(OR(Table3[[#This Row],[Discount]]&lt;0,Table3[[#This Row],[Discount]]&gt;1),"Check discount",IF(Table3[[#This Row],[Current Price]]&gt;Table3[[#This Row],[Old Price]],"Check prices","OK")))</f>
        <v>Check rating</v>
      </c>
    </row>
    <row r="44" spans="1:11" x14ac:dyDescent="0.25">
      <c r="A44" t="s">
        <v>137</v>
      </c>
      <c r="B44" s="11">
        <v>610</v>
      </c>
      <c r="C44" s="11" t="str">
        <f>IF(Table3[[#This Row],[Current Price]]="","Missing",IF(Table3[[#This Row],[Current Price]]&lt;=Price_Q1,"Low Price",IF(Table3[[#This Row],[Current Price]]&lt;=Price_Q3,"Medium Price","High Price")))</f>
        <v>Medium Price</v>
      </c>
      <c r="D44" s="11">
        <v>1060</v>
      </c>
      <c r="E44" s="1">
        <v>0.42</v>
      </c>
      <c r="F44" s="1" t="str">
        <f>IF(Table3[[#This Row],[Discount]]="","Missing",IF(Table3[[#This Row],[Discount]]&lt;0.2,"Low Discount",IF(Table3[[#This Row],[Discount]]&lt;=0.4,"Medium Discount","High Discount")))</f>
        <v>High Discount</v>
      </c>
      <c r="G44" s="11">
        <f>Table3[[#This Row],[Old Price]]-Table3[[#This Row],[Current Price]]</f>
        <v>450</v>
      </c>
      <c r="H44" t="s">
        <v>358</v>
      </c>
      <c r="I44" t="s">
        <v>358</v>
      </c>
      <c r="J44" t="str">
        <f>IF(Table3[[#This Row],[Rating]]="","Missing",IF(Table3[[#This Row],[Rating]]&lt;3,"Poor",IF(Table3[[#This Row],[Rating]]&lt;=4.5,"Average","Excellent")))</f>
        <v>Missing</v>
      </c>
      <c r="K44" t="str">
        <f>IF(OR(Table3[[#This Row],[Rating]]&lt;0,Table3[[#This Row],[Rating]]&gt;5),"Check rating",IF(OR(Table3[[#This Row],[Discount]]&lt;0,Table3[[#This Row],[Discount]]&gt;1),"Check discount",IF(Table3[[#This Row],[Current Price]]&gt;Table3[[#This Row],[Old Price]],"Check prices","OK")))</f>
        <v>Check rating</v>
      </c>
    </row>
    <row r="45" spans="1:11" x14ac:dyDescent="0.25">
      <c r="A45" t="s">
        <v>140</v>
      </c>
      <c r="B45" s="11">
        <v>2132</v>
      </c>
      <c r="C45" s="11" t="str">
        <f>IF(Table3[[#This Row],[Current Price]]="","Missing",IF(Table3[[#This Row],[Current Price]]&lt;=Price_Q1,"Low Price",IF(Table3[[#This Row],[Current Price]]&lt;=Price_Q3,"Medium Price","High Price")))</f>
        <v>High Price</v>
      </c>
      <c r="D45" s="11">
        <v>2169</v>
      </c>
      <c r="E45" s="1">
        <v>0.02</v>
      </c>
      <c r="F45" s="1" t="str">
        <f>IF(Table3[[#This Row],[Discount]]="","Missing",IF(Table3[[#This Row],[Discount]]&lt;0.2,"Low Discount",IF(Table3[[#This Row],[Discount]]&lt;=0.4,"Medium Discount","High Discount")))</f>
        <v>Low Discount</v>
      </c>
      <c r="G45" s="11">
        <f>Table3[[#This Row],[Old Price]]-Table3[[#This Row],[Current Price]]</f>
        <v>37</v>
      </c>
      <c r="H45" t="s">
        <v>358</v>
      </c>
      <c r="I45" t="s">
        <v>358</v>
      </c>
      <c r="J45" t="str">
        <f>IF(Table3[[#This Row],[Rating]]="","Missing",IF(Table3[[#This Row],[Rating]]&lt;3,"Poor",IF(Table3[[#This Row],[Rating]]&lt;=4.5,"Average","Excellent")))</f>
        <v>Missing</v>
      </c>
      <c r="K45" t="str">
        <f>IF(OR(Table3[[#This Row],[Rating]]&lt;0,Table3[[#This Row],[Rating]]&gt;5),"Check rating",IF(OR(Table3[[#This Row],[Discount]]&lt;0,Table3[[#This Row],[Discount]]&gt;1),"Check discount",IF(Table3[[#This Row],[Current Price]]&gt;Table3[[#This Row],[Old Price]],"Check prices","OK")))</f>
        <v>Check rating</v>
      </c>
    </row>
    <row r="46" spans="1:11" x14ac:dyDescent="0.25">
      <c r="A46" t="s">
        <v>143</v>
      </c>
      <c r="B46" s="11">
        <v>999</v>
      </c>
      <c r="C46" s="11" t="str">
        <f>IF(Table3[[#This Row],[Current Price]]="","Missing",IF(Table3[[#This Row],[Current Price]]&lt;=Price_Q1,"Low Price",IF(Table3[[#This Row],[Current Price]]&lt;=Price_Q3,"Medium Price","High Price")))</f>
        <v>Medium Price</v>
      </c>
      <c r="D46" s="11">
        <v>2000</v>
      </c>
      <c r="E46" s="1">
        <v>0.5</v>
      </c>
      <c r="F46" s="1" t="str">
        <f>IF(Table3[[#This Row],[Discount]]="","Missing",IF(Table3[[#This Row],[Discount]]&lt;0.2,"Low Discount",IF(Table3[[#This Row],[Discount]]&lt;=0.4,"Medium Discount","High Discount")))</f>
        <v>High Discount</v>
      </c>
      <c r="G46" s="11">
        <f>Table3[[#This Row],[Old Price]]-Table3[[#This Row],[Current Price]]</f>
        <v>1001</v>
      </c>
      <c r="H46" t="s">
        <v>358</v>
      </c>
      <c r="I46" t="s">
        <v>358</v>
      </c>
      <c r="J46" t="str">
        <f>IF(Table3[[#This Row],[Rating]]="","Missing",IF(Table3[[#This Row],[Rating]]&lt;3,"Poor",IF(Table3[[#This Row],[Rating]]&lt;=4.5,"Average","Excellent")))</f>
        <v>Missing</v>
      </c>
      <c r="K46" t="str">
        <f>IF(OR(Table3[[#This Row],[Rating]]&lt;0,Table3[[#This Row],[Rating]]&gt;5),"Check rating",IF(OR(Table3[[#This Row],[Discount]]&lt;0,Table3[[#This Row],[Discount]]&gt;1),"Check discount",IF(Table3[[#This Row],[Current Price]]&gt;Table3[[#This Row],[Old Price]],"Check prices","OK")))</f>
        <v>Check rating</v>
      </c>
    </row>
    <row r="47" spans="1:11" x14ac:dyDescent="0.25">
      <c r="A47" t="s">
        <v>145</v>
      </c>
      <c r="B47" s="11">
        <v>1190</v>
      </c>
      <c r="C47" s="11" t="str">
        <f>IF(Table3[[#This Row],[Current Price]]="","Missing",IF(Table3[[#This Row],[Current Price]]&lt;=Price_Q1,"Low Price",IF(Table3[[#This Row],[Current Price]]&lt;=Price_Q3,"Medium Price","High Price")))</f>
        <v>Medium Price</v>
      </c>
      <c r="D47" s="11">
        <v>1785</v>
      </c>
      <c r="E47" s="1">
        <v>0.33</v>
      </c>
      <c r="F47" s="1" t="str">
        <f>IF(Table3[[#This Row],[Discount]]="","Missing",IF(Table3[[#This Row],[Discount]]&lt;0.2,"Low Discount",IF(Table3[[#This Row],[Discount]]&lt;=0.4,"Medium Discount","High Discount")))</f>
        <v>Medium Discount</v>
      </c>
      <c r="G47" s="11">
        <f>Table3[[#This Row],[Old Price]]-Table3[[#This Row],[Current Price]]</f>
        <v>595</v>
      </c>
      <c r="H47" t="s">
        <v>358</v>
      </c>
      <c r="I47" t="s">
        <v>358</v>
      </c>
      <c r="J47" t="str">
        <f>IF(Table3[[#This Row],[Rating]]="","Missing",IF(Table3[[#This Row],[Rating]]&lt;3,"Poor",IF(Table3[[#This Row],[Rating]]&lt;=4.5,"Average","Excellent")))</f>
        <v>Missing</v>
      </c>
      <c r="K47" t="str">
        <f>IF(OR(Table3[[#This Row],[Rating]]&lt;0,Table3[[#This Row],[Rating]]&gt;5),"Check rating",IF(OR(Table3[[#This Row],[Discount]]&lt;0,Table3[[#This Row],[Discount]]&gt;1),"Check discount",IF(Table3[[#This Row],[Current Price]]&gt;Table3[[#This Row],[Old Price]],"Check prices","OK")))</f>
        <v>Check rating</v>
      </c>
    </row>
    <row r="48" spans="1:11" x14ac:dyDescent="0.25">
      <c r="A48" t="s">
        <v>148</v>
      </c>
      <c r="B48" s="11">
        <v>671</v>
      </c>
      <c r="C48" s="11" t="str">
        <f>IF(Table3[[#This Row],[Current Price]]="","Missing",IF(Table3[[#This Row],[Current Price]]&lt;=Price_Q1,"Low Price",IF(Table3[[#This Row],[Current Price]]&lt;=Price_Q3,"Medium Price","High Price")))</f>
        <v>Medium Price</v>
      </c>
      <c r="D48" s="11">
        <v>1316</v>
      </c>
      <c r="E48" s="1">
        <v>0.49</v>
      </c>
      <c r="F48" s="1" t="str">
        <f>IF(Table3[[#This Row],[Discount]]="","Missing",IF(Table3[[#This Row],[Discount]]&lt;0.2,"Low Discount",IF(Table3[[#This Row],[Discount]]&lt;=0.4,"Medium Discount","High Discount")))</f>
        <v>High Discount</v>
      </c>
      <c r="G48" s="11">
        <f>Table3[[#This Row],[Old Price]]-Table3[[#This Row],[Current Price]]</f>
        <v>645</v>
      </c>
      <c r="H48" t="s">
        <v>358</v>
      </c>
      <c r="I48" t="s">
        <v>358</v>
      </c>
      <c r="J48" t="str">
        <f>IF(Table3[[#This Row],[Rating]]="","Missing",IF(Table3[[#This Row],[Rating]]&lt;3,"Poor",IF(Table3[[#This Row],[Rating]]&lt;=4.5,"Average","Excellent")))</f>
        <v>Missing</v>
      </c>
      <c r="K48" t="str">
        <f>IF(OR(Table3[[#This Row],[Rating]]&lt;0,Table3[[#This Row],[Rating]]&gt;5),"Check rating",IF(OR(Table3[[#This Row],[Discount]]&lt;0,Table3[[#This Row],[Discount]]&gt;1),"Check discount",IF(Table3[[#This Row],[Current Price]]&gt;Table3[[#This Row],[Old Price]],"Check prices","OK")))</f>
        <v>Check rating</v>
      </c>
    </row>
    <row r="49" spans="1:11" x14ac:dyDescent="0.25">
      <c r="A49" t="s">
        <v>151</v>
      </c>
      <c r="B49" s="11">
        <v>1200</v>
      </c>
      <c r="C49" s="11" t="str">
        <f>IF(Table3[[#This Row],[Current Price]]="","Missing",IF(Table3[[#This Row],[Current Price]]&lt;=Price_Q1,"Low Price",IF(Table3[[#This Row],[Current Price]]&lt;=Price_Q3,"Medium Price","High Price")))</f>
        <v>Medium Price</v>
      </c>
      <c r="D49" s="11">
        <v>1950</v>
      </c>
      <c r="E49" s="1">
        <v>0.38</v>
      </c>
      <c r="F49" s="1" t="str">
        <f>IF(Table3[[#This Row],[Discount]]="","Missing",IF(Table3[[#This Row],[Discount]]&lt;0.2,"Low Discount",IF(Table3[[#This Row],[Discount]]&lt;=0.4,"Medium Discount","High Discount")))</f>
        <v>Medium Discount</v>
      </c>
      <c r="G49" s="11">
        <f>Table3[[#This Row],[Old Price]]-Table3[[#This Row],[Current Price]]</f>
        <v>750</v>
      </c>
      <c r="H49" t="s">
        <v>358</v>
      </c>
      <c r="I49" t="s">
        <v>358</v>
      </c>
      <c r="J49" t="str">
        <f>IF(Table3[[#This Row],[Rating]]="","Missing",IF(Table3[[#This Row],[Rating]]&lt;3,"Poor",IF(Table3[[#This Row],[Rating]]&lt;=4.5,"Average","Excellent")))</f>
        <v>Missing</v>
      </c>
      <c r="K49" t="str">
        <f>IF(OR(Table3[[#This Row],[Rating]]&lt;0,Table3[[#This Row],[Rating]]&gt;5),"Check rating",IF(OR(Table3[[#This Row],[Discount]]&lt;0,Table3[[#This Row],[Discount]]&gt;1),"Check discount",IF(Table3[[#This Row],[Current Price]]&gt;Table3[[#This Row],[Old Price]],"Check prices","OK")))</f>
        <v>Check rating</v>
      </c>
    </row>
    <row r="50" spans="1:11" x14ac:dyDescent="0.25">
      <c r="A50" t="s">
        <v>154</v>
      </c>
      <c r="B50" s="11">
        <v>199</v>
      </c>
      <c r="C50" s="11" t="str">
        <f>IF(Table3[[#This Row],[Current Price]]="","Missing",IF(Table3[[#This Row],[Current Price]]&lt;=Price_Q1,"Low Price",IF(Table3[[#This Row],[Current Price]]&lt;=Price_Q3,"Medium Price","High Price")))</f>
        <v>Low Price</v>
      </c>
      <c r="D50" s="11">
        <v>504</v>
      </c>
      <c r="E50" s="1">
        <v>0.61</v>
      </c>
      <c r="F50" s="1" t="str">
        <f>IF(Table3[[#This Row],[Discount]]="","Missing",IF(Table3[[#This Row],[Discount]]&lt;0.2,"Low Discount",IF(Table3[[#This Row],[Discount]]&lt;=0.4,"Medium Discount","High Discount")))</f>
        <v>High Discount</v>
      </c>
      <c r="G50" s="11">
        <f>Table3[[#This Row],[Old Price]]-Table3[[#This Row],[Current Price]]</f>
        <v>305</v>
      </c>
      <c r="H50" t="s">
        <v>358</v>
      </c>
      <c r="I50" t="s">
        <v>358</v>
      </c>
      <c r="J50" t="str">
        <f>IF(Table3[[#This Row],[Rating]]="","Missing",IF(Table3[[#This Row],[Rating]]&lt;3,"Poor",IF(Table3[[#This Row],[Rating]]&lt;=4.5,"Average","Excellent")))</f>
        <v>Missing</v>
      </c>
      <c r="K50" t="str">
        <f>IF(OR(Table3[[#This Row],[Rating]]&lt;0,Table3[[#This Row],[Rating]]&gt;5),"Check rating",IF(OR(Table3[[#This Row],[Discount]]&lt;0,Table3[[#This Row],[Discount]]&gt;1),"Check discount",IF(Table3[[#This Row],[Current Price]]&gt;Table3[[#This Row],[Old Price]],"Check prices","OK")))</f>
        <v>Check rating</v>
      </c>
    </row>
    <row r="51" spans="1:11" x14ac:dyDescent="0.25">
      <c r="A51" t="s">
        <v>157</v>
      </c>
      <c r="B51" s="11">
        <v>299</v>
      </c>
      <c r="C51" s="11" t="str">
        <f>IF(Table3[[#This Row],[Current Price]]="","Missing",IF(Table3[[#This Row],[Current Price]]&lt;=Price_Q1,"Low Price",IF(Table3[[#This Row],[Current Price]]&lt;=Price_Q3,"Medium Price","High Price")))</f>
        <v>Low Price</v>
      </c>
      <c r="D51" s="11">
        <v>600</v>
      </c>
      <c r="E51" s="1">
        <v>0.5</v>
      </c>
      <c r="F51" s="1" t="str">
        <f>IF(Table3[[#This Row],[Discount]]="","Missing",IF(Table3[[#This Row],[Discount]]&lt;0.2,"Low Discount",IF(Table3[[#This Row],[Discount]]&lt;=0.4,"Medium Discount","High Discount")))</f>
        <v>High Discount</v>
      </c>
      <c r="G51" s="11">
        <f>Table3[[#This Row],[Old Price]]-Table3[[#This Row],[Current Price]]</f>
        <v>301</v>
      </c>
      <c r="H51" t="s">
        <v>358</v>
      </c>
      <c r="I51" t="s">
        <v>358</v>
      </c>
      <c r="J51" t="str">
        <f>IF(Table3[[#This Row],[Rating]]="","Missing",IF(Table3[[#This Row],[Rating]]&lt;3,"Poor",IF(Table3[[#This Row],[Rating]]&lt;=4.5,"Average","Excellent")))</f>
        <v>Missing</v>
      </c>
      <c r="K51" t="str">
        <f>IF(OR(Table3[[#This Row],[Rating]]&lt;0,Table3[[#This Row],[Rating]]&gt;5),"Check rating",IF(OR(Table3[[#This Row],[Discount]]&lt;0,Table3[[#This Row],[Discount]]&gt;1),"Check discount",IF(Table3[[#This Row],[Current Price]]&gt;Table3[[#This Row],[Old Price]],"Check prices","OK")))</f>
        <v>Check rating</v>
      </c>
    </row>
    <row r="52" spans="1:11" x14ac:dyDescent="0.25">
      <c r="A52" t="s">
        <v>160</v>
      </c>
      <c r="B52" s="11">
        <v>1660</v>
      </c>
      <c r="C52" s="11" t="str">
        <f>IF(Table3[[#This Row],[Current Price]]="","Missing",IF(Table3[[#This Row],[Current Price]]&lt;=Price_Q1,"Low Price",IF(Table3[[#This Row],[Current Price]]&lt;=Price_Q3,"Medium Price","High Price")))</f>
        <v>Medium Price</v>
      </c>
      <c r="D52" s="11">
        <v>1699</v>
      </c>
      <c r="E52" s="1">
        <v>0.02</v>
      </c>
      <c r="F52" s="1" t="str">
        <f>IF(Table3[[#This Row],[Discount]]="","Missing",IF(Table3[[#This Row],[Discount]]&lt;0.2,"Low Discount",IF(Table3[[#This Row],[Discount]]&lt;=0.4,"Medium Discount","High Discount")))</f>
        <v>Low Discount</v>
      </c>
      <c r="G52" s="11">
        <f>Table3[[#This Row],[Old Price]]-Table3[[#This Row],[Current Price]]</f>
        <v>39</v>
      </c>
      <c r="H52" t="s">
        <v>358</v>
      </c>
      <c r="I52" t="s">
        <v>358</v>
      </c>
      <c r="J52" t="str">
        <f>IF(Table3[[#This Row],[Rating]]="","Missing",IF(Table3[[#This Row],[Rating]]&lt;3,"Poor",IF(Table3[[#This Row],[Rating]]&lt;=4.5,"Average","Excellent")))</f>
        <v>Missing</v>
      </c>
      <c r="K52" t="str">
        <f>IF(OR(Table3[[#This Row],[Rating]]&lt;0,Table3[[#This Row],[Rating]]&gt;5),"Check rating",IF(OR(Table3[[#This Row],[Discount]]&lt;0,Table3[[#This Row],[Discount]]&gt;1),"Check discount",IF(Table3[[#This Row],[Current Price]]&gt;Table3[[#This Row],[Old Price]],"Check prices","OK")))</f>
        <v>Check rating</v>
      </c>
    </row>
    <row r="53" spans="1:11" x14ac:dyDescent="0.25">
      <c r="A53" t="s">
        <v>163</v>
      </c>
      <c r="B53" s="11">
        <v>299</v>
      </c>
      <c r="C53" s="11" t="str">
        <f>IF(Table3[[#This Row],[Current Price]]="","Missing",IF(Table3[[#This Row],[Current Price]]&lt;=Price_Q1,"Low Price",IF(Table3[[#This Row],[Current Price]]&lt;=Price_Q3,"Medium Price","High Price")))</f>
        <v>Low Price</v>
      </c>
      <c r="D53" s="11">
        <v>384</v>
      </c>
      <c r="E53" s="1">
        <v>0.22</v>
      </c>
      <c r="F53" s="1" t="str">
        <f>IF(Table3[[#This Row],[Discount]]="","Missing",IF(Table3[[#This Row],[Discount]]&lt;0.2,"Low Discount",IF(Table3[[#This Row],[Discount]]&lt;=0.4,"Medium Discount","High Discount")))</f>
        <v>Medium Discount</v>
      </c>
      <c r="G53" s="11">
        <f>Table3[[#This Row],[Old Price]]-Table3[[#This Row],[Current Price]]</f>
        <v>85</v>
      </c>
      <c r="H53" t="s">
        <v>358</v>
      </c>
      <c r="I53" t="s">
        <v>358</v>
      </c>
      <c r="J53" t="str">
        <f>IF(Table3[[#This Row],[Rating]]="","Missing",IF(Table3[[#This Row],[Rating]]&lt;3,"Poor",IF(Table3[[#This Row],[Rating]]&lt;=4.5,"Average","Excellent")))</f>
        <v>Missing</v>
      </c>
      <c r="K53" t="str">
        <f>IF(OR(Table3[[#This Row],[Rating]]&lt;0,Table3[[#This Row],[Rating]]&gt;5),"Check rating",IF(OR(Table3[[#This Row],[Discount]]&lt;0,Table3[[#This Row],[Discount]]&gt;1),"Check discount",IF(Table3[[#This Row],[Current Price]]&gt;Table3[[#This Row],[Old Price]],"Check prices","OK")))</f>
        <v>Check rating</v>
      </c>
    </row>
    <row r="54" spans="1:11" x14ac:dyDescent="0.25">
      <c r="A54" t="s">
        <v>165</v>
      </c>
      <c r="B54" s="11">
        <v>1459</v>
      </c>
      <c r="C54" s="11" t="str">
        <f>IF(Table3[[#This Row],[Current Price]]="","Missing",IF(Table3[[#This Row],[Current Price]]&lt;=Price_Q1,"Low Price",IF(Table3[[#This Row],[Current Price]]&lt;=Price_Q3,"Medium Price","High Price")))</f>
        <v>Medium Price</v>
      </c>
      <c r="D54" s="11">
        <v>1499</v>
      </c>
      <c r="E54" s="1">
        <v>0.03</v>
      </c>
      <c r="F54" s="1" t="str">
        <f>IF(Table3[[#This Row],[Discount]]="","Missing",IF(Table3[[#This Row],[Discount]]&lt;0.2,"Low Discount",IF(Table3[[#This Row],[Discount]]&lt;=0.4,"Medium Discount","High Discount")))</f>
        <v>Low Discount</v>
      </c>
      <c r="G54" s="11">
        <f>Table3[[#This Row],[Old Price]]-Table3[[#This Row],[Current Price]]</f>
        <v>40</v>
      </c>
      <c r="H54" t="s">
        <v>358</v>
      </c>
      <c r="I54" t="s">
        <v>358</v>
      </c>
      <c r="J54" t="str">
        <f>IF(Table3[[#This Row],[Rating]]="","Missing",IF(Table3[[#This Row],[Rating]]&lt;3,"Poor",IF(Table3[[#This Row],[Rating]]&lt;=4.5,"Average","Excellent")))</f>
        <v>Missing</v>
      </c>
      <c r="K54" t="str">
        <f>IF(OR(Table3[[#This Row],[Rating]]&lt;0,Table3[[#This Row],[Rating]]&gt;5),"Check rating",IF(OR(Table3[[#This Row],[Discount]]&lt;0,Table3[[#This Row],[Discount]]&gt;1),"Check discount",IF(Table3[[#This Row],[Current Price]]&gt;Table3[[#This Row],[Old Price]],"Check prices","OK")))</f>
        <v>Check rating</v>
      </c>
    </row>
    <row r="55" spans="1:11" x14ac:dyDescent="0.25">
      <c r="A55" t="s">
        <v>168</v>
      </c>
      <c r="B55" s="11">
        <v>799</v>
      </c>
      <c r="C55" s="11" t="str">
        <f>IF(Table3[[#This Row],[Current Price]]="","Missing",IF(Table3[[#This Row],[Current Price]]&lt;=Price_Q1,"Low Price",IF(Table3[[#This Row],[Current Price]]&lt;=Price_Q3,"Medium Price","High Price")))</f>
        <v>Medium Price</v>
      </c>
      <c r="D55" s="11">
        <v>1343</v>
      </c>
      <c r="E55" s="1">
        <v>0.41</v>
      </c>
      <c r="F55" s="1" t="str">
        <f>IF(Table3[[#This Row],[Discount]]="","Missing",IF(Table3[[#This Row],[Discount]]&lt;0.2,"Low Discount",IF(Table3[[#This Row],[Discount]]&lt;=0.4,"Medium Discount","High Discount")))</f>
        <v>High Discount</v>
      </c>
      <c r="G55" s="11">
        <f>Table3[[#This Row],[Old Price]]-Table3[[#This Row],[Current Price]]</f>
        <v>544</v>
      </c>
      <c r="H55" t="s">
        <v>358</v>
      </c>
      <c r="I55" t="s">
        <v>358</v>
      </c>
      <c r="J55" t="str">
        <f>IF(Table3[[#This Row],[Rating]]="","Missing",IF(Table3[[#This Row],[Rating]]&lt;3,"Poor",IF(Table3[[#This Row],[Rating]]&lt;=4.5,"Average","Excellent")))</f>
        <v>Missing</v>
      </c>
      <c r="K55" t="str">
        <f>IF(OR(Table3[[#This Row],[Rating]]&lt;0,Table3[[#This Row],[Rating]]&gt;5),"Check rating",IF(OR(Table3[[#This Row],[Discount]]&lt;0,Table3[[#This Row],[Discount]]&gt;1),"Check discount",IF(Table3[[#This Row],[Current Price]]&gt;Table3[[#This Row],[Old Price]],"Check prices","OK")))</f>
        <v>Check rating</v>
      </c>
    </row>
    <row r="56" spans="1:11" x14ac:dyDescent="0.25">
      <c r="A56" t="s">
        <v>170</v>
      </c>
      <c r="B56" s="11">
        <v>499</v>
      </c>
      <c r="C56" s="11" t="str">
        <f>IF(Table3[[#This Row],[Current Price]]="","Missing",IF(Table3[[#This Row],[Current Price]]&lt;=Price_Q1,"Low Price",IF(Table3[[#This Row],[Current Price]]&lt;=Price_Q3,"Medium Price","High Price")))</f>
        <v>Medium Price</v>
      </c>
      <c r="D56" s="11">
        <v>900</v>
      </c>
      <c r="E56" s="1">
        <v>0.45</v>
      </c>
      <c r="F56" s="1" t="str">
        <f>IF(Table3[[#This Row],[Discount]]="","Missing",IF(Table3[[#This Row],[Discount]]&lt;0.2,"Low Discount",IF(Table3[[#This Row],[Discount]]&lt;=0.4,"Medium Discount","High Discount")))</f>
        <v>High Discount</v>
      </c>
      <c r="G56" s="11">
        <f>Table3[[#This Row],[Old Price]]-Table3[[#This Row],[Current Price]]</f>
        <v>401</v>
      </c>
      <c r="H56" t="s">
        <v>358</v>
      </c>
      <c r="I56" t="s">
        <v>358</v>
      </c>
      <c r="J56" t="str">
        <f>IF(Table3[[#This Row],[Rating]]="","Missing",IF(Table3[[#This Row],[Rating]]&lt;3,"Poor",IF(Table3[[#This Row],[Rating]]&lt;=4.5,"Average","Excellent")))</f>
        <v>Missing</v>
      </c>
      <c r="K56" t="str">
        <f>IF(OR(Table3[[#This Row],[Rating]]&lt;0,Table3[[#This Row],[Rating]]&gt;5),"Check rating",IF(OR(Table3[[#This Row],[Discount]]&lt;0,Table3[[#This Row],[Discount]]&gt;1),"Check discount",IF(Table3[[#This Row],[Current Price]]&gt;Table3[[#This Row],[Old Price]],"Check prices","OK")))</f>
        <v>Check rating</v>
      </c>
    </row>
    <row r="57" spans="1:11" x14ac:dyDescent="0.25">
      <c r="A57" t="s">
        <v>173</v>
      </c>
      <c r="B57" s="11">
        <v>699</v>
      </c>
      <c r="C57" s="11" t="str">
        <f>IF(Table3[[#This Row],[Current Price]]="","Missing",IF(Table3[[#This Row],[Current Price]]&lt;=Price_Q1,"Low Price",IF(Table3[[#This Row],[Current Price]]&lt;=Price_Q3,"Medium Price","High Price")))</f>
        <v>Medium Price</v>
      </c>
      <c r="D57" s="11">
        <v>1343</v>
      </c>
      <c r="E57" s="1">
        <v>0.48</v>
      </c>
      <c r="F57" s="1" t="str">
        <f>IF(Table3[[#This Row],[Discount]]="","Missing",IF(Table3[[#This Row],[Discount]]&lt;0.2,"Low Discount",IF(Table3[[#This Row],[Discount]]&lt;=0.4,"Medium Discount","High Discount")))</f>
        <v>High Discount</v>
      </c>
      <c r="G57" s="11">
        <f>Table3[[#This Row],[Old Price]]-Table3[[#This Row],[Current Price]]</f>
        <v>644</v>
      </c>
      <c r="H57" t="s">
        <v>358</v>
      </c>
      <c r="I57" t="s">
        <v>358</v>
      </c>
      <c r="J57" t="str">
        <f>IF(Table3[[#This Row],[Rating]]="","Missing",IF(Table3[[#This Row],[Rating]]&lt;3,"Poor",IF(Table3[[#This Row],[Rating]]&lt;=4.5,"Average","Excellent")))</f>
        <v>Missing</v>
      </c>
      <c r="K57" t="str">
        <f>IF(OR(Table3[[#This Row],[Rating]]&lt;0,Table3[[#This Row],[Rating]]&gt;5),"Check rating",IF(OR(Table3[[#This Row],[Discount]]&lt;0,Table3[[#This Row],[Discount]]&gt;1),"Check discount",IF(Table3[[#This Row],[Current Price]]&gt;Table3[[#This Row],[Old Price]],"Check prices","OK")))</f>
        <v>Check rating</v>
      </c>
    </row>
    <row r="58" spans="1:11" x14ac:dyDescent="0.25">
      <c r="A58" t="s">
        <v>175</v>
      </c>
      <c r="B58" s="11">
        <v>799</v>
      </c>
      <c r="C58" s="11" t="str">
        <f>IF(Table3[[#This Row],[Current Price]]="","Missing",IF(Table3[[#This Row],[Current Price]]&lt;=Price_Q1,"Low Price",IF(Table3[[#This Row],[Current Price]]&lt;=Price_Q3,"Medium Price","High Price")))</f>
        <v>Medium Price</v>
      </c>
      <c r="D58" s="11">
        <v>1567</v>
      </c>
      <c r="E58" s="1">
        <v>0.49</v>
      </c>
      <c r="F58" s="1" t="str">
        <f>IF(Table3[[#This Row],[Discount]]="","Missing",IF(Table3[[#This Row],[Discount]]&lt;0.2,"Low Discount",IF(Table3[[#This Row],[Discount]]&lt;=0.4,"Medium Discount","High Discount")))</f>
        <v>High Discount</v>
      </c>
      <c r="G58" s="11">
        <f>Table3[[#This Row],[Old Price]]-Table3[[#This Row],[Current Price]]</f>
        <v>768</v>
      </c>
      <c r="H58" t="s">
        <v>358</v>
      </c>
      <c r="I58" t="s">
        <v>358</v>
      </c>
      <c r="J58" t="str">
        <f>IF(Table3[[#This Row],[Rating]]="","Missing",IF(Table3[[#This Row],[Rating]]&lt;3,"Poor",IF(Table3[[#This Row],[Rating]]&lt;=4.5,"Average","Excellent")))</f>
        <v>Missing</v>
      </c>
      <c r="K58" t="str">
        <f>IF(OR(Table3[[#This Row],[Rating]]&lt;0,Table3[[#This Row],[Rating]]&gt;5),"Check rating",IF(OR(Table3[[#This Row],[Discount]]&lt;0,Table3[[#This Row],[Discount]]&gt;1),"Check discount",IF(Table3[[#This Row],[Current Price]]&gt;Table3[[#This Row],[Old Price]],"Check prices","OK")))</f>
        <v>Check rating</v>
      </c>
    </row>
    <row r="59" spans="1:11" x14ac:dyDescent="0.25">
      <c r="A59" t="s">
        <v>177</v>
      </c>
      <c r="B59" s="11">
        <v>2799</v>
      </c>
      <c r="C59" s="11" t="str">
        <f>IF(Table3[[#This Row],[Current Price]]="","Missing",IF(Table3[[#This Row],[Current Price]]&lt;=Price_Q1,"Low Price",IF(Table3[[#This Row],[Current Price]]&lt;=Price_Q3,"Medium Price","High Price")))</f>
        <v>High Price</v>
      </c>
      <c r="D59" s="11">
        <v>3810</v>
      </c>
      <c r="E59" s="1">
        <v>0.27</v>
      </c>
      <c r="F59" s="1" t="str">
        <f>IF(Table3[[#This Row],[Discount]]="","Missing",IF(Table3[[#This Row],[Discount]]&lt;0.2,"Low Discount",IF(Table3[[#This Row],[Discount]]&lt;=0.4,"Medium Discount","High Discount")))</f>
        <v>Medium Discount</v>
      </c>
      <c r="G59" s="11">
        <f>Table3[[#This Row],[Old Price]]-Table3[[#This Row],[Current Price]]</f>
        <v>1011</v>
      </c>
      <c r="H59" t="s">
        <v>358</v>
      </c>
      <c r="I59" t="s">
        <v>358</v>
      </c>
      <c r="J59" t="str">
        <f>IF(Table3[[#This Row],[Rating]]="","Missing",IF(Table3[[#This Row],[Rating]]&lt;3,"Poor",IF(Table3[[#This Row],[Rating]]&lt;=4.5,"Average","Excellent")))</f>
        <v>Missing</v>
      </c>
      <c r="K59" t="str">
        <f>IF(OR(Table3[[#This Row],[Rating]]&lt;0,Table3[[#This Row],[Rating]]&gt;5),"Check rating",IF(OR(Table3[[#This Row],[Discount]]&lt;0,Table3[[#This Row],[Discount]]&gt;1),"Check discount",IF(Table3[[#This Row],[Current Price]]&gt;Table3[[#This Row],[Old Price]],"Check prices","OK")))</f>
        <v>Check rating</v>
      </c>
    </row>
    <row r="60" spans="1:11" x14ac:dyDescent="0.25">
      <c r="A60" t="s">
        <v>170</v>
      </c>
      <c r="B60" s="11">
        <v>399</v>
      </c>
      <c r="C60" s="11" t="str">
        <f>IF(Table3[[#This Row],[Current Price]]="","Missing",IF(Table3[[#This Row],[Current Price]]&lt;=Price_Q1,"Low Price",IF(Table3[[#This Row],[Current Price]]&lt;=Price_Q3,"Medium Price","High Price")))</f>
        <v>Low Price</v>
      </c>
      <c r="D60" s="11">
        <v>896</v>
      </c>
      <c r="E60" s="1">
        <v>0.55000000000000004</v>
      </c>
      <c r="F60" s="1" t="str">
        <f>IF(Table3[[#This Row],[Discount]]="","Missing",IF(Table3[[#This Row],[Discount]]&lt;0.2,"Low Discount",IF(Table3[[#This Row],[Discount]]&lt;=0.4,"Medium Discount","High Discount")))</f>
        <v>High Discount</v>
      </c>
      <c r="G60" s="11">
        <f>Table3[[#This Row],[Old Price]]-Table3[[#This Row],[Current Price]]</f>
        <v>497</v>
      </c>
      <c r="H60" t="s">
        <v>358</v>
      </c>
      <c r="I60" t="s">
        <v>358</v>
      </c>
      <c r="J60" t="str">
        <f>IF(Table3[[#This Row],[Rating]]="","Missing",IF(Table3[[#This Row],[Rating]]&lt;3,"Poor",IF(Table3[[#This Row],[Rating]]&lt;=4.5,"Average","Excellent")))</f>
        <v>Missing</v>
      </c>
      <c r="K60" t="str">
        <f>IF(OR(Table3[[#This Row],[Rating]]&lt;0,Table3[[#This Row],[Rating]]&gt;5),"Check rating",IF(OR(Table3[[#This Row],[Discount]]&lt;0,Table3[[#This Row],[Discount]]&gt;1),"Check discount",IF(Table3[[#This Row],[Current Price]]&gt;Table3[[#This Row],[Old Price]],"Check prices","OK")))</f>
        <v>Check rating</v>
      </c>
    </row>
    <row r="61" spans="1:11" x14ac:dyDescent="0.25">
      <c r="A61" t="s">
        <v>182</v>
      </c>
      <c r="B61" s="11">
        <v>2170</v>
      </c>
      <c r="C61" s="11" t="str">
        <f>IF(Table3[[#This Row],[Current Price]]="","Missing",IF(Table3[[#This Row],[Current Price]]&lt;=Price_Q1,"Low Price",IF(Table3[[#This Row],[Current Price]]&lt;=Price_Q3,"Medium Price","High Price")))</f>
        <v>High Price</v>
      </c>
      <c r="D61" s="11">
        <v>2500</v>
      </c>
      <c r="E61" s="1">
        <v>0.13</v>
      </c>
      <c r="F61" s="1" t="str">
        <f>IF(Table3[[#This Row],[Discount]]="","Missing",IF(Table3[[#This Row],[Discount]]&lt;0.2,"Low Discount",IF(Table3[[#This Row],[Discount]]&lt;=0.4,"Medium Discount","High Discount")))</f>
        <v>Low Discount</v>
      </c>
      <c r="G61" s="11">
        <f>Table3[[#This Row],[Old Price]]-Table3[[#This Row],[Current Price]]</f>
        <v>330</v>
      </c>
      <c r="H61">
        <v>6</v>
      </c>
      <c r="I61">
        <v>2.5</v>
      </c>
      <c r="J61" t="str">
        <f>IF(Table3[[#This Row],[Rating]]="","Missing",IF(Table3[[#This Row],[Rating]]&lt;3,"Poor",IF(Table3[[#This Row],[Rating]]&lt;=4.5,"Average","Excellent")))</f>
        <v>Poor</v>
      </c>
      <c r="K61" t="str">
        <f>IF(OR(Table3[[#This Row],[Rating]]&lt;0,Table3[[#This Row],[Rating]]&gt;5),"Check rating",IF(OR(Table3[[#This Row],[Discount]]&lt;0,Table3[[#This Row],[Discount]]&gt;1),"Check discount",IF(Table3[[#This Row],[Current Price]]&gt;Table3[[#This Row],[Old Price]],"Check prices","OK")))</f>
        <v>OK</v>
      </c>
    </row>
    <row r="62" spans="1:11" x14ac:dyDescent="0.25">
      <c r="A62" t="s">
        <v>186</v>
      </c>
      <c r="B62" s="11">
        <v>458</v>
      </c>
      <c r="C62" s="11" t="str">
        <f>IF(Table3[[#This Row],[Current Price]]="","Missing",IF(Table3[[#This Row],[Current Price]]&lt;=Price_Q1,"Low Price",IF(Table3[[#This Row],[Current Price]]&lt;=Price_Q3,"Medium Price","High Price")))</f>
        <v>Low Price</v>
      </c>
      <c r="D62" s="11">
        <v>986</v>
      </c>
      <c r="E62" s="1">
        <v>0.54</v>
      </c>
      <c r="F62" s="1" t="str">
        <f>IF(Table3[[#This Row],[Discount]]="","Missing",IF(Table3[[#This Row],[Discount]]&lt;0.2,"Low Discount",IF(Table3[[#This Row],[Discount]]&lt;=0.4,"Medium Discount","High Discount")))</f>
        <v>High Discount</v>
      </c>
      <c r="G62" s="11">
        <f>Table3[[#This Row],[Old Price]]-Table3[[#This Row],[Current Price]]</f>
        <v>528</v>
      </c>
      <c r="H62">
        <v>10</v>
      </c>
      <c r="I62">
        <v>3</v>
      </c>
      <c r="J62" t="str">
        <f>IF(Table3[[#This Row],[Rating]]="","Missing",IF(Table3[[#This Row],[Rating]]&lt;3,"Poor",IF(Table3[[#This Row],[Rating]]&lt;=4.5,"Average","Excellent")))</f>
        <v>Average</v>
      </c>
      <c r="K62" t="str">
        <f>IF(OR(Table3[[#This Row],[Rating]]&lt;0,Table3[[#This Row],[Rating]]&gt;5),"Check rating",IF(OR(Table3[[#This Row],[Discount]]&lt;0,Table3[[#This Row],[Discount]]&gt;1),"Check discount",IF(Table3[[#This Row],[Current Price]]&gt;Table3[[#This Row],[Old Price]],"Check prices","OK")))</f>
        <v>OK</v>
      </c>
    </row>
    <row r="63" spans="1:11" x14ac:dyDescent="0.25">
      <c r="A63" t="s">
        <v>190</v>
      </c>
      <c r="B63" s="11">
        <v>2115</v>
      </c>
      <c r="C63" s="11" t="str">
        <f>IF(Table3[[#This Row],[Current Price]]="","Missing",IF(Table3[[#This Row],[Current Price]]&lt;=Price_Q1,"Low Price",IF(Table3[[#This Row],[Current Price]]&lt;=Price_Q3,"Medium Price","High Price")))</f>
        <v>High Price</v>
      </c>
      <c r="D63" s="11">
        <v>4700</v>
      </c>
      <c r="E63" s="1">
        <v>0.55000000000000004</v>
      </c>
      <c r="F63" s="1" t="str">
        <f>IF(Table3[[#This Row],[Discount]]="","Missing",IF(Table3[[#This Row],[Discount]]&lt;0.2,"Low Discount",IF(Table3[[#This Row],[Discount]]&lt;=0.4,"Medium Discount","High Discount")))</f>
        <v>High Discount</v>
      </c>
      <c r="G63" s="11">
        <f>Table3[[#This Row],[Old Price]]-Table3[[#This Row],[Current Price]]</f>
        <v>2585</v>
      </c>
      <c r="H63">
        <v>13</v>
      </c>
      <c r="I63">
        <v>2.1</v>
      </c>
      <c r="J63" t="str">
        <f>IF(Table3[[#This Row],[Rating]]="","Missing",IF(Table3[[#This Row],[Rating]]&lt;3,"Poor",IF(Table3[[#This Row],[Rating]]&lt;=4.5,"Average","Excellent")))</f>
        <v>Poor</v>
      </c>
      <c r="K63" t="str">
        <f>IF(OR(Table3[[#This Row],[Rating]]&lt;0,Table3[[#This Row],[Rating]]&gt;5),"Check rating",IF(OR(Table3[[#This Row],[Discount]]&lt;0,Table3[[#This Row],[Discount]]&gt;1),"Check discount",IF(Table3[[#This Row],[Current Price]]&gt;Table3[[#This Row],[Old Price]],"Check prices","OK")))</f>
        <v>OK</v>
      </c>
    </row>
    <row r="64" spans="1:11" x14ac:dyDescent="0.25">
      <c r="A64" t="s">
        <v>194</v>
      </c>
      <c r="B64" s="11">
        <v>445</v>
      </c>
      <c r="C64" s="11" t="str">
        <f>IF(Table3[[#This Row],[Current Price]]="","Missing",IF(Table3[[#This Row],[Current Price]]&lt;=Price_Q1,"Low Price",IF(Table3[[#This Row],[Current Price]]&lt;=Price_Q3,"Medium Price","High Price")))</f>
        <v>Low Price</v>
      </c>
      <c r="D64" s="11">
        <v>873</v>
      </c>
      <c r="E64" s="1">
        <v>0.49</v>
      </c>
      <c r="F64" s="1" t="str">
        <f>IF(Table3[[#This Row],[Discount]]="","Missing",IF(Table3[[#This Row],[Discount]]&lt;0.2,"Low Discount",IF(Table3[[#This Row],[Discount]]&lt;=0.4,"Medium Discount","High Discount")))</f>
        <v>High Discount</v>
      </c>
      <c r="G64" s="11">
        <f>Table3[[#This Row],[Old Price]]-Table3[[#This Row],[Current Price]]</f>
        <v>428</v>
      </c>
      <c r="H64">
        <v>69</v>
      </c>
      <c r="I64">
        <v>2.8</v>
      </c>
      <c r="J64" t="str">
        <f>IF(Table3[[#This Row],[Rating]]="","Missing",IF(Table3[[#This Row],[Rating]]&lt;3,"Poor",IF(Table3[[#This Row],[Rating]]&lt;=4.5,"Average","Excellent")))</f>
        <v>Poor</v>
      </c>
      <c r="K64" t="str">
        <f>IF(OR(Table3[[#This Row],[Rating]]&lt;0,Table3[[#This Row],[Rating]]&gt;5),"Check rating",IF(OR(Table3[[#This Row],[Discount]]&lt;0,Table3[[#This Row],[Discount]]&gt;1),"Check discount",IF(Table3[[#This Row],[Current Price]]&gt;Table3[[#This Row],[Old Price]],"Check prices","OK")))</f>
        <v>OK</v>
      </c>
    </row>
    <row r="65" spans="1:11" x14ac:dyDescent="0.25">
      <c r="A65" t="s">
        <v>349</v>
      </c>
      <c r="B65" s="11">
        <v>325</v>
      </c>
      <c r="C65" s="11" t="str">
        <f>IF(Table3[[#This Row],[Current Price]]="","Missing",IF(Table3[[#This Row],[Current Price]]&lt;=Price_Q1,"Low Price",IF(Table3[[#This Row],[Current Price]]&lt;=Price_Q3,"Medium Price","High Price")))</f>
        <v>Low Price</v>
      </c>
      <c r="D65" s="11">
        <v>680</v>
      </c>
      <c r="E65" s="1">
        <v>0.52</v>
      </c>
      <c r="F65" s="1" t="str">
        <f>IF(Table3[[#This Row],[Discount]]="","Missing",IF(Table3[[#This Row],[Discount]]&lt;0.2,"Low Discount",IF(Table3[[#This Row],[Discount]]&lt;=0.4,"Medium Discount","High Discount")))</f>
        <v>High Discount</v>
      </c>
      <c r="G65" s="11">
        <f>Table3[[#This Row],[Old Price]]-Table3[[#This Row],[Current Price]]</f>
        <v>355</v>
      </c>
      <c r="H65">
        <v>15</v>
      </c>
      <c r="I65">
        <v>2.7</v>
      </c>
      <c r="J65" t="str">
        <f>IF(Table3[[#This Row],[Rating]]="","Missing",IF(Table3[[#This Row],[Rating]]&lt;3,"Poor",IF(Table3[[#This Row],[Rating]]&lt;=4.5,"Average","Excellent")))</f>
        <v>Poor</v>
      </c>
      <c r="K65" t="str">
        <f>IF(OR(Table3[[#This Row],[Rating]]&lt;0,Table3[[#This Row],[Rating]]&gt;5),"Check rating",IF(OR(Table3[[#This Row],[Discount]]&lt;0,Table3[[#This Row],[Discount]]&gt;1),"Check discount",IF(Table3[[#This Row],[Current Price]]&gt;Table3[[#This Row],[Old Price]],"Check prices","OK")))</f>
        <v>OK</v>
      </c>
    </row>
    <row r="66" spans="1:11" x14ac:dyDescent="0.25">
      <c r="A66" t="s">
        <v>202</v>
      </c>
      <c r="B66" s="11">
        <v>1220</v>
      </c>
      <c r="C66" s="11" t="str">
        <f>IF(Table3[[#This Row],[Current Price]]="","Missing",IF(Table3[[#This Row],[Current Price]]&lt;=Price_Q1,"Low Price",IF(Table3[[#This Row],[Current Price]]&lt;=Price_Q3,"Medium Price","High Price")))</f>
        <v>Medium Price</v>
      </c>
      <c r="D66" s="11">
        <v>1555</v>
      </c>
      <c r="E66" s="1">
        <v>0.22</v>
      </c>
      <c r="F66" s="1" t="str">
        <f>IF(Table3[[#This Row],[Discount]]="","Missing",IF(Table3[[#This Row],[Discount]]&lt;0.2,"Low Discount",IF(Table3[[#This Row],[Discount]]&lt;=0.4,"Medium Discount","High Discount")))</f>
        <v>Medium Discount</v>
      </c>
      <c r="G66" s="11">
        <f>Table3[[#This Row],[Old Price]]-Table3[[#This Row],[Current Price]]</f>
        <v>335</v>
      </c>
      <c r="H66">
        <v>16</v>
      </c>
      <c r="I66">
        <v>2.9</v>
      </c>
      <c r="J66" t="str">
        <f>IF(Table3[[#This Row],[Rating]]="","Missing",IF(Table3[[#This Row],[Rating]]&lt;3,"Poor",IF(Table3[[#This Row],[Rating]]&lt;=4.5,"Average","Excellent")))</f>
        <v>Poor</v>
      </c>
      <c r="K66" t="str">
        <f>IF(OR(Table3[[#This Row],[Rating]]&lt;0,Table3[[#This Row],[Rating]]&gt;5),"Check rating",IF(OR(Table3[[#This Row],[Discount]]&lt;0,Table3[[#This Row],[Discount]]&gt;1),"Check discount",IF(Table3[[#This Row],[Current Price]]&gt;Table3[[#This Row],[Old Price]],"Check prices","OK")))</f>
        <v>OK</v>
      </c>
    </row>
    <row r="67" spans="1:11" x14ac:dyDescent="0.25">
      <c r="A67" t="s">
        <v>206</v>
      </c>
      <c r="B67" s="11">
        <v>990</v>
      </c>
      <c r="C67" s="11" t="str">
        <f>IF(Table3[[#This Row],[Current Price]]="","Missing",IF(Table3[[#This Row],[Current Price]]&lt;=Price_Q1,"Low Price",IF(Table3[[#This Row],[Current Price]]&lt;=Price_Q3,"Medium Price","High Price")))</f>
        <v>Medium Price</v>
      </c>
      <c r="D67" s="11">
        <v>1814</v>
      </c>
      <c r="E67" s="1">
        <v>0.45</v>
      </c>
      <c r="F67" s="1" t="str">
        <f>IF(Table3[[#This Row],[Discount]]="","Missing",IF(Table3[[#This Row],[Discount]]&lt;0.2,"Low Discount",IF(Table3[[#This Row],[Discount]]&lt;=0.4,"Medium Discount","High Discount")))</f>
        <v>High Discount</v>
      </c>
      <c r="G67" s="11">
        <f>Table3[[#This Row],[Old Price]]-Table3[[#This Row],[Current Price]]</f>
        <v>824</v>
      </c>
      <c r="H67">
        <v>6</v>
      </c>
      <c r="I67">
        <v>2.2000000000000002</v>
      </c>
      <c r="J67" t="str">
        <f>IF(Table3[[#This Row],[Rating]]="","Missing",IF(Table3[[#This Row],[Rating]]&lt;3,"Poor",IF(Table3[[#This Row],[Rating]]&lt;=4.5,"Average","Excellent")))</f>
        <v>Poor</v>
      </c>
      <c r="K67" t="str">
        <f>IF(OR(Table3[[#This Row],[Rating]]&lt;0,Table3[[#This Row],[Rating]]&gt;5),"Check rating",IF(OR(Table3[[#This Row],[Discount]]&lt;0,Table3[[#This Row],[Discount]]&gt;1),"Check discount",IF(Table3[[#This Row],[Current Price]]&gt;Table3[[#This Row],[Old Price]],"Check prices","OK")))</f>
        <v>OK</v>
      </c>
    </row>
    <row r="68" spans="1:11" x14ac:dyDescent="0.25">
      <c r="A68" t="s">
        <v>209</v>
      </c>
      <c r="B68" s="11">
        <v>1000</v>
      </c>
      <c r="C68" s="11" t="str">
        <f>IF(Table3[[#This Row],[Current Price]]="","Missing",IF(Table3[[#This Row],[Current Price]]&lt;=Price_Q1,"Low Price",IF(Table3[[#This Row],[Current Price]]&lt;=Price_Q3,"Medium Price","High Price")))</f>
        <v>Medium Price</v>
      </c>
      <c r="D68" s="11">
        <v>2000</v>
      </c>
      <c r="E68" s="1">
        <v>0.5</v>
      </c>
      <c r="F68" s="1" t="str">
        <f>IF(Table3[[#This Row],[Discount]]="","Missing",IF(Table3[[#This Row],[Discount]]&lt;0.2,"Low Discount",IF(Table3[[#This Row],[Discount]]&lt;=0.4,"Medium Discount","High Discount")))</f>
        <v>High Discount</v>
      </c>
      <c r="G68" s="11">
        <f>Table3[[#This Row],[Old Price]]-Table3[[#This Row],[Current Price]]</f>
        <v>1000</v>
      </c>
      <c r="H68">
        <v>7</v>
      </c>
      <c r="I68">
        <v>2.2999999999999998</v>
      </c>
      <c r="J68" t="str">
        <f>IF(Table3[[#This Row],[Rating]]="","Missing",IF(Table3[[#This Row],[Rating]]&lt;3,"Poor",IF(Table3[[#This Row],[Rating]]&lt;=4.5,"Average","Excellent")))</f>
        <v>Poor</v>
      </c>
      <c r="K68" t="str">
        <f>IF(OR(Table3[[#This Row],[Rating]]&lt;0,Table3[[#This Row],[Rating]]&gt;5),"Check rating",IF(OR(Table3[[#This Row],[Discount]]&lt;0,Table3[[#This Row],[Discount]]&gt;1),"Check discount",IF(Table3[[#This Row],[Current Price]]&gt;Table3[[#This Row],[Old Price]],"Check prices","OK")))</f>
        <v>OK</v>
      </c>
    </row>
    <row r="69" spans="1:11" x14ac:dyDescent="0.25">
      <c r="A69" t="s">
        <v>212</v>
      </c>
      <c r="B69" s="11">
        <v>3750</v>
      </c>
      <c r="C69" s="11" t="str">
        <f>IF(Table3[[#This Row],[Current Price]]="","Missing",IF(Table3[[#This Row],[Current Price]]&lt;=Price_Q1,"Low Price",IF(Table3[[#This Row],[Current Price]]&lt;=Price_Q3,"Medium Price","High Price")))</f>
        <v>High Price</v>
      </c>
      <c r="D69" s="11">
        <v>6143</v>
      </c>
      <c r="E69" s="1">
        <v>0.39</v>
      </c>
      <c r="F69" s="1" t="str">
        <f>IF(Table3[[#This Row],[Discount]]="","Missing",IF(Table3[[#This Row],[Discount]]&lt;0.2,"Low Discount",IF(Table3[[#This Row],[Discount]]&lt;=0.4,"Medium Discount","High Discount")))</f>
        <v>Medium Discount</v>
      </c>
      <c r="G69" s="11">
        <f>Table3[[#This Row],[Old Price]]-Table3[[#This Row],[Current Price]]</f>
        <v>2393</v>
      </c>
      <c r="H69">
        <v>5</v>
      </c>
      <c r="I69">
        <v>3</v>
      </c>
      <c r="J69" t="str">
        <f>IF(Table3[[#This Row],[Rating]]="","Missing",IF(Table3[[#This Row],[Rating]]&lt;3,"Poor",IF(Table3[[#This Row],[Rating]]&lt;=4.5,"Average","Excellent")))</f>
        <v>Average</v>
      </c>
      <c r="K69" t="str">
        <f>IF(OR(Table3[[#This Row],[Rating]]&lt;0,Table3[[#This Row],[Rating]]&gt;5),"Check rating",IF(OR(Table3[[#This Row],[Discount]]&lt;0,Table3[[#This Row],[Discount]]&gt;1),"Check discount",IF(Table3[[#This Row],[Current Price]]&gt;Table3[[#This Row],[Old Price]],"Check prices","OK")))</f>
        <v>OK</v>
      </c>
    </row>
    <row r="70" spans="1:11" x14ac:dyDescent="0.25">
      <c r="A70" t="s">
        <v>215</v>
      </c>
      <c r="B70" s="11">
        <v>382</v>
      </c>
      <c r="C70" s="11" t="str">
        <f>IF(Table3[[#This Row],[Current Price]]="","Missing",IF(Table3[[#This Row],[Current Price]]&lt;=Price_Q1,"Low Price",IF(Table3[[#This Row],[Current Price]]&lt;=Price_Q3,"Medium Price","High Price")))</f>
        <v>Low Price</v>
      </c>
      <c r="D70" s="11">
        <v>700</v>
      </c>
      <c r="E70" s="1">
        <v>0.45</v>
      </c>
      <c r="F70" s="1" t="str">
        <f>IF(Table3[[#This Row],[Discount]]="","Missing",IF(Table3[[#This Row],[Discount]]&lt;0.2,"Low Discount",IF(Table3[[#This Row],[Discount]]&lt;=0.4,"Medium Discount","High Discount")))</f>
        <v>High Discount</v>
      </c>
      <c r="G70" s="11">
        <f>Table3[[#This Row],[Old Price]]-Table3[[#This Row],[Current Price]]</f>
        <v>318</v>
      </c>
      <c r="H70">
        <v>17</v>
      </c>
      <c r="I70">
        <v>2.6</v>
      </c>
      <c r="J70" t="str">
        <f>IF(Table3[[#This Row],[Rating]]="","Missing",IF(Table3[[#This Row],[Rating]]&lt;3,"Poor",IF(Table3[[#This Row],[Rating]]&lt;=4.5,"Average","Excellent")))</f>
        <v>Poor</v>
      </c>
      <c r="K70" t="str">
        <f>IF(OR(Table3[[#This Row],[Rating]]&lt;0,Table3[[#This Row],[Rating]]&gt;5),"Check rating",IF(OR(Table3[[#This Row],[Discount]]&lt;0,Table3[[#This Row],[Discount]]&gt;1),"Check discount",IF(Table3[[#This Row],[Current Price]]&gt;Table3[[#This Row],[Old Price]],"Check prices","OK")))</f>
        <v>OK</v>
      </c>
    </row>
    <row r="71" spans="1:11" x14ac:dyDescent="0.25">
      <c r="A71" t="s">
        <v>218</v>
      </c>
      <c r="B71" s="11">
        <v>2300</v>
      </c>
      <c r="C71" s="11" t="str">
        <f>IF(Table3[[#This Row],[Current Price]]="","Missing",IF(Table3[[#This Row],[Current Price]]&lt;=Price_Q1,"Low Price",IF(Table3[[#This Row],[Current Price]]&lt;=Price_Q3,"Medium Price","High Price")))</f>
        <v>High Price</v>
      </c>
      <c r="D71" s="11">
        <v>3240</v>
      </c>
      <c r="E71" s="1">
        <v>0.28999999999999998</v>
      </c>
      <c r="F71" s="1" t="str">
        <f>IF(Table3[[#This Row],[Discount]]="","Missing",IF(Table3[[#This Row],[Discount]]&lt;0.2,"Low Discount",IF(Table3[[#This Row],[Discount]]&lt;=0.4,"Medium Discount","High Discount")))</f>
        <v>Medium Discount</v>
      </c>
      <c r="G71" s="11">
        <f>Table3[[#This Row],[Old Price]]-Table3[[#This Row],[Current Price]]</f>
        <v>940</v>
      </c>
      <c r="H71">
        <v>5</v>
      </c>
      <c r="I71">
        <v>3</v>
      </c>
      <c r="J71" t="str">
        <f>IF(Table3[[#This Row],[Rating]]="","Missing",IF(Table3[[#This Row],[Rating]]&lt;3,"Poor",IF(Table3[[#This Row],[Rating]]&lt;=4.5,"Average","Excellent")))</f>
        <v>Average</v>
      </c>
      <c r="K71" t="str">
        <f>IF(OR(Table3[[#This Row],[Rating]]&lt;0,Table3[[#This Row],[Rating]]&gt;5),"Check rating",IF(OR(Table3[[#This Row],[Discount]]&lt;0,Table3[[#This Row],[Discount]]&gt;1),"Check discount",IF(Table3[[#This Row],[Current Price]]&gt;Table3[[#This Row],[Old Price]],"Check prices","OK")))</f>
        <v>OK</v>
      </c>
    </row>
    <row r="72" spans="1:11" x14ac:dyDescent="0.25">
      <c r="A72" t="s">
        <v>221</v>
      </c>
      <c r="B72" s="11">
        <v>345</v>
      </c>
      <c r="C72" s="11" t="str">
        <f>IF(Table3[[#This Row],[Current Price]]="","Missing",IF(Table3[[#This Row],[Current Price]]&lt;=Price_Q1,"Low Price",IF(Table3[[#This Row],[Current Price]]&lt;=Price_Q3,"Medium Price","High Price")))</f>
        <v>Low Price</v>
      </c>
      <c r="D72" s="11">
        <v>602</v>
      </c>
      <c r="E72" s="1">
        <v>0.43</v>
      </c>
      <c r="F72" s="1" t="str">
        <f>IF(Table3[[#This Row],[Discount]]="","Missing",IF(Table3[[#This Row],[Discount]]&lt;0.2,"Low Discount",IF(Table3[[#This Row],[Discount]]&lt;=0.4,"Medium Discount","High Discount")))</f>
        <v>High Discount</v>
      </c>
      <c r="G72" s="11">
        <f>Table3[[#This Row],[Old Price]]-Table3[[#This Row],[Current Price]]</f>
        <v>257</v>
      </c>
      <c r="H72">
        <v>6</v>
      </c>
      <c r="I72">
        <v>2.2999999999999998</v>
      </c>
      <c r="J72" t="str">
        <f>IF(Table3[[#This Row],[Rating]]="","Missing",IF(Table3[[#This Row],[Rating]]&lt;3,"Poor",IF(Table3[[#This Row],[Rating]]&lt;=4.5,"Average","Excellent")))</f>
        <v>Poor</v>
      </c>
      <c r="K72" t="str">
        <f>IF(OR(Table3[[#This Row],[Rating]]&lt;0,Table3[[#This Row],[Rating]]&gt;5),"Check rating",IF(OR(Table3[[#This Row],[Discount]]&lt;0,Table3[[#This Row],[Discount]]&gt;1),"Check discount",IF(Table3[[#This Row],[Current Price]]&gt;Table3[[#This Row],[Old Price]],"Check prices","OK")))</f>
        <v>OK</v>
      </c>
    </row>
    <row r="73" spans="1:11" x14ac:dyDescent="0.25">
      <c r="A73" t="s">
        <v>224</v>
      </c>
      <c r="B73" s="11">
        <v>509</v>
      </c>
      <c r="C73" s="11" t="str">
        <f>IF(Table3[[#This Row],[Current Price]]="","Missing",IF(Table3[[#This Row],[Current Price]]&lt;=Price_Q1,"Low Price",IF(Table3[[#This Row],[Current Price]]&lt;=Price_Q3,"Medium Price","High Price")))</f>
        <v>Medium Price</v>
      </c>
      <c r="D73" s="11">
        <v>899</v>
      </c>
      <c r="E73" s="1">
        <v>0.43</v>
      </c>
      <c r="F73" s="1" t="str">
        <f>IF(Table3[[#This Row],[Discount]]="","Missing",IF(Table3[[#This Row],[Discount]]&lt;0.2,"Low Discount",IF(Table3[[#This Row],[Discount]]&lt;=0.4,"Medium Discount","High Discount")))</f>
        <v>High Discount</v>
      </c>
      <c r="G73" s="11">
        <f>Table3[[#This Row],[Old Price]]-Table3[[#This Row],[Current Price]]</f>
        <v>390</v>
      </c>
      <c r="H73">
        <v>5</v>
      </c>
      <c r="I73">
        <v>3</v>
      </c>
      <c r="J73" t="str">
        <f>IF(Table3[[#This Row],[Rating]]="","Missing",IF(Table3[[#This Row],[Rating]]&lt;3,"Poor",IF(Table3[[#This Row],[Rating]]&lt;=4.5,"Average","Excellent")))</f>
        <v>Average</v>
      </c>
      <c r="K73" t="str">
        <f>IF(OR(Table3[[#This Row],[Rating]]&lt;0,Table3[[#This Row],[Rating]]&gt;5),"Check rating",IF(OR(Table3[[#This Row],[Discount]]&lt;0,Table3[[#This Row],[Discount]]&gt;1),"Check discount",IF(Table3[[#This Row],[Current Price]]&gt;Table3[[#This Row],[Old Price]],"Check prices","OK")))</f>
        <v>OK</v>
      </c>
    </row>
    <row r="74" spans="1:11" x14ac:dyDescent="0.25">
      <c r="A74" t="s">
        <v>227</v>
      </c>
      <c r="B74" s="11">
        <v>968</v>
      </c>
      <c r="C74" s="11" t="str">
        <f>IF(Table3[[#This Row],[Current Price]]="","Missing",IF(Table3[[#This Row],[Current Price]]&lt;=Price_Q1,"Low Price",IF(Table3[[#This Row],[Current Price]]&lt;=Price_Q3,"Medium Price","High Price")))</f>
        <v>Medium Price</v>
      </c>
      <c r="D74" s="11">
        <v>1814</v>
      </c>
      <c r="E74" s="1">
        <v>0.47</v>
      </c>
      <c r="F74" s="1" t="str">
        <f>IF(Table3[[#This Row],[Discount]]="","Missing",IF(Table3[[#This Row],[Discount]]&lt;0.2,"Low Discount",IF(Table3[[#This Row],[Discount]]&lt;=0.4,"Medium Discount","High Discount")))</f>
        <v>High Discount</v>
      </c>
      <c r="G74" s="11">
        <f>Table3[[#This Row],[Old Price]]-Table3[[#This Row],[Current Price]]</f>
        <v>846</v>
      </c>
      <c r="H74">
        <v>6</v>
      </c>
      <c r="I74">
        <v>2.2000000000000002</v>
      </c>
      <c r="J74" t="str">
        <f>IF(Table3[[#This Row],[Rating]]="","Missing",IF(Table3[[#This Row],[Rating]]&lt;3,"Poor",IF(Table3[[#This Row],[Rating]]&lt;=4.5,"Average","Excellent")))</f>
        <v>Poor</v>
      </c>
      <c r="K74" t="str">
        <f>IF(OR(Table3[[#This Row],[Rating]]&lt;0,Table3[[#This Row],[Rating]]&gt;5),"Check rating",IF(OR(Table3[[#This Row],[Discount]]&lt;0,Table3[[#This Row],[Discount]]&gt;1),"Check discount",IF(Table3[[#This Row],[Current Price]]&gt;Table3[[#This Row],[Old Price]],"Check prices","OK")))</f>
        <v>OK</v>
      </c>
    </row>
    <row r="75" spans="1:11" x14ac:dyDescent="0.25">
      <c r="A75" t="s">
        <v>229</v>
      </c>
      <c r="B75" s="11">
        <v>1570</v>
      </c>
      <c r="C75" s="11" t="str">
        <f>IF(Table3[[#This Row],[Current Price]]="","Missing",IF(Table3[[#This Row],[Current Price]]&lt;=Price_Q1,"Low Price",IF(Table3[[#This Row],[Current Price]]&lt;=Price_Q3,"Medium Price","High Price")))</f>
        <v>Medium Price</v>
      </c>
      <c r="D75" s="11">
        <v>2988</v>
      </c>
      <c r="E75" s="1">
        <v>0.47</v>
      </c>
      <c r="F75" s="1" t="str">
        <f>IF(Table3[[#This Row],[Discount]]="","Missing",IF(Table3[[#This Row],[Discount]]&lt;0.2,"Low Discount",IF(Table3[[#This Row],[Discount]]&lt;=0.4,"Medium Discount","High Discount")))</f>
        <v>High Discount</v>
      </c>
      <c r="G75" s="11">
        <f>Table3[[#This Row],[Old Price]]-Table3[[#This Row],[Current Price]]</f>
        <v>1418</v>
      </c>
      <c r="H75">
        <v>7</v>
      </c>
      <c r="I75">
        <v>2.1</v>
      </c>
      <c r="J75" t="str">
        <f>IF(Table3[[#This Row],[Rating]]="","Missing",IF(Table3[[#This Row],[Rating]]&lt;3,"Poor",IF(Table3[[#This Row],[Rating]]&lt;=4.5,"Average","Excellent")))</f>
        <v>Poor</v>
      </c>
      <c r="K75" t="str">
        <f>IF(OR(Table3[[#This Row],[Rating]]&lt;0,Table3[[#This Row],[Rating]]&gt;5),"Check rating",IF(OR(Table3[[#This Row],[Discount]]&lt;0,Table3[[#This Row],[Discount]]&gt;1),"Check discount",IF(Table3[[#This Row],[Current Price]]&gt;Table3[[#This Row],[Old Price]],"Check prices","OK")))</f>
        <v>OK</v>
      </c>
    </row>
    <row r="76" spans="1:11" x14ac:dyDescent="0.25">
      <c r="A76" t="s">
        <v>232</v>
      </c>
      <c r="B76" s="11">
        <v>790</v>
      </c>
      <c r="C76" s="11" t="str">
        <f>IF(Table3[[#This Row],[Current Price]]="","Missing",IF(Table3[[#This Row],[Current Price]]&lt;=Price_Q1,"Low Price",IF(Table3[[#This Row],[Current Price]]&lt;=Price_Q3,"Medium Price","High Price")))</f>
        <v>Medium Price</v>
      </c>
      <c r="D76" s="11">
        <v>1485</v>
      </c>
      <c r="E76" s="1">
        <v>0.47</v>
      </c>
      <c r="F76" s="1" t="str">
        <f>IF(Table3[[#This Row],[Discount]]="","Missing",IF(Table3[[#This Row],[Discount]]&lt;0.2,"Low Discount",IF(Table3[[#This Row],[Discount]]&lt;=0.4,"Medium Discount","High Discount")))</f>
        <v>High Discount</v>
      </c>
      <c r="G76" s="11">
        <f>Table3[[#This Row],[Old Price]]-Table3[[#This Row],[Current Price]]</f>
        <v>695</v>
      </c>
      <c r="H76" t="s">
        <v>358</v>
      </c>
      <c r="I76" t="s">
        <v>358</v>
      </c>
      <c r="J76" t="str">
        <f>IF(Table3[[#This Row],[Rating]]="","Missing",IF(Table3[[#This Row],[Rating]]&lt;3,"Poor",IF(Table3[[#This Row],[Rating]]&lt;=4.5,"Average","Excellent")))</f>
        <v>Missing</v>
      </c>
      <c r="K76" t="str">
        <f>IF(OR(Table3[[#This Row],[Rating]]&lt;0,Table3[[#This Row],[Rating]]&gt;5),"Check rating",IF(OR(Table3[[#This Row],[Discount]]&lt;0,Table3[[#This Row],[Discount]]&gt;1),"Check discount",IF(Table3[[#This Row],[Current Price]]&gt;Table3[[#This Row],[Old Price]],"Check prices","OK")))</f>
        <v>Check rating</v>
      </c>
    </row>
    <row r="77" spans="1:11" x14ac:dyDescent="0.25">
      <c r="A77" t="s">
        <v>235</v>
      </c>
      <c r="B77" s="11">
        <v>690</v>
      </c>
      <c r="C77" s="11" t="str">
        <f>IF(Table3[[#This Row],[Current Price]]="","Missing",IF(Table3[[#This Row],[Current Price]]&lt;=Price_Q1,"Low Price",IF(Table3[[#This Row],[Current Price]]&lt;=Price_Q3,"Medium Price","High Price")))</f>
        <v>Medium Price</v>
      </c>
      <c r="D77" s="11">
        <v>1200</v>
      </c>
      <c r="E77" s="1">
        <v>0.43</v>
      </c>
      <c r="F77" s="1" t="str">
        <f>IF(Table3[[#This Row],[Discount]]="","Missing",IF(Table3[[#This Row],[Discount]]&lt;0.2,"Low Discount",IF(Table3[[#This Row],[Discount]]&lt;=0.4,"Medium Discount","High Discount")))</f>
        <v>High Discount</v>
      </c>
      <c r="G77" s="11">
        <f>Table3[[#This Row],[Old Price]]-Table3[[#This Row],[Current Price]]</f>
        <v>510</v>
      </c>
      <c r="H77" t="s">
        <v>358</v>
      </c>
      <c r="I77" t="s">
        <v>358</v>
      </c>
      <c r="J77" t="str">
        <f>IF(Table3[[#This Row],[Rating]]="","Missing",IF(Table3[[#This Row],[Rating]]&lt;3,"Poor",IF(Table3[[#This Row],[Rating]]&lt;=4.5,"Average","Excellent")))</f>
        <v>Missing</v>
      </c>
      <c r="K77" t="str">
        <f>IF(OR(Table3[[#This Row],[Rating]]&lt;0,Table3[[#This Row],[Rating]]&gt;5),"Check rating",IF(OR(Table3[[#This Row],[Discount]]&lt;0,Table3[[#This Row],[Discount]]&gt;1),"Check discount",IF(Table3[[#This Row],[Current Price]]&gt;Table3[[#This Row],[Old Price]],"Check prices","OK")))</f>
        <v>Check rating</v>
      </c>
    </row>
    <row r="78" spans="1:11" x14ac:dyDescent="0.25">
      <c r="A78" t="s">
        <v>237</v>
      </c>
      <c r="B78" s="11">
        <v>1732</v>
      </c>
      <c r="C78" s="11" t="str">
        <f>IF(Table3[[#This Row],[Current Price]]="","Missing",IF(Table3[[#This Row],[Current Price]]&lt;=Price_Q1,"Low Price",IF(Table3[[#This Row],[Current Price]]&lt;=Price_Q3,"Medium Price","High Price")))</f>
        <v>High Price</v>
      </c>
      <c r="D78" s="11">
        <v>1799</v>
      </c>
      <c r="E78" s="1">
        <v>0.04</v>
      </c>
      <c r="F78" s="1" t="str">
        <f>IF(Table3[[#This Row],[Discount]]="","Missing",IF(Table3[[#This Row],[Discount]]&lt;0.2,"Low Discount",IF(Table3[[#This Row],[Discount]]&lt;=0.4,"Medium Discount","High Discount")))</f>
        <v>Low Discount</v>
      </c>
      <c r="G78" s="11">
        <f>Table3[[#This Row],[Old Price]]-Table3[[#This Row],[Current Price]]</f>
        <v>67</v>
      </c>
      <c r="H78" t="s">
        <v>358</v>
      </c>
      <c r="I78" t="s">
        <v>358</v>
      </c>
      <c r="J78" t="str">
        <f>IF(Table3[[#This Row],[Rating]]="","Missing",IF(Table3[[#This Row],[Rating]]&lt;3,"Poor",IF(Table3[[#This Row],[Rating]]&lt;=4.5,"Average","Excellent")))</f>
        <v>Missing</v>
      </c>
      <c r="K78" t="str">
        <f>IF(OR(Table3[[#This Row],[Rating]]&lt;0,Table3[[#This Row],[Rating]]&gt;5),"Check rating",IF(OR(Table3[[#This Row],[Discount]]&lt;0,Table3[[#This Row],[Discount]]&gt;1),"Check discount",IF(Table3[[#This Row],[Current Price]]&gt;Table3[[#This Row],[Old Price]],"Check prices","OK")))</f>
        <v>Check rating</v>
      </c>
    </row>
    <row r="79" spans="1:11" x14ac:dyDescent="0.25">
      <c r="A79" t="s">
        <v>240</v>
      </c>
      <c r="B79" s="11">
        <v>230</v>
      </c>
      <c r="C79" s="11" t="str">
        <f>IF(Table3[[#This Row],[Current Price]]="","Missing",IF(Table3[[#This Row],[Current Price]]&lt;=Price_Q1,"Low Price",IF(Table3[[#This Row],[Current Price]]&lt;=Price_Q3,"Medium Price","High Price")))</f>
        <v>Low Price</v>
      </c>
      <c r="D79" s="11">
        <v>450</v>
      </c>
      <c r="E79" s="1">
        <v>0.49</v>
      </c>
      <c r="F79" s="1" t="str">
        <f>IF(Table3[[#This Row],[Discount]]="","Missing",IF(Table3[[#This Row],[Discount]]&lt;0.2,"Low Discount",IF(Table3[[#This Row],[Discount]]&lt;=0.4,"Medium Discount","High Discount")))</f>
        <v>High Discount</v>
      </c>
      <c r="G79" s="11">
        <f>Table3[[#This Row],[Old Price]]-Table3[[#This Row],[Current Price]]</f>
        <v>220</v>
      </c>
      <c r="H79" t="s">
        <v>358</v>
      </c>
      <c r="I79" t="s">
        <v>358</v>
      </c>
      <c r="J79" t="str">
        <f>IF(Table3[[#This Row],[Rating]]="","Missing",IF(Table3[[#This Row],[Rating]]&lt;3,"Poor",IF(Table3[[#This Row],[Rating]]&lt;=4.5,"Average","Excellent")))</f>
        <v>Missing</v>
      </c>
      <c r="K79" t="str">
        <f>IF(OR(Table3[[#This Row],[Rating]]&lt;0,Table3[[#This Row],[Rating]]&gt;5),"Check rating",IF(OR(Table3[[#This Row],[Discount]]&lt;0,Table3[[#This Row],[Discount]]&gt;1),"Check discount",IF(Table3[[#This Row],[Current Price]]&gt;Table3[[#This Row],[Old Price]],"Check prices","OK")))</f>
        <v>Check rating</v>
      </c>
    </row>
    <row r="80" spans="1:11" x14ac:dyDescent="0.25">
      <c r="A80" t="s">
        <v>243</v>
      </c>
      <c r="B80" s="11">
        <v>1189</v>
      </c>
      <c r="C80" s="11" t="str">
        <f>IF(Table3[[#This Row],[Current Price]]="","Missing",IF(Table3[[#This Row],[Current Price]]&lt;=Price_Q1,"Low Price",IF(Table3[[#This Row],[Current Price]]&lt;=Price_Q3,"Medium Price","High Price")))</f>
        <v>Medium Price</v>
      </c>
      <c r="D80" s="11">
        <v>2199</v>
      </c>
      <c r="E80" s="1">
        <v>0.46</v>
      </c>
      <c r="F80" s="1" t="str">
        <f>IF(Table3[[#This Row],[Discount]]="","Missing",IF(Table3[[#This Row],[Discount]]&lt;0.2,"Low Discount",IF(Table3[[#This Row],[Discount]]&lt;=0.4,"Medium Discount","High Discount")))</f>
        <v>High Discount</v>
      </c>
      <c r="G80" s="11">
        <f>Table3[[#This Row],[Old Price]]-Table3[[#This Row],[Current Price]]</f>
        <v>1010</v>
      </c>
      <c r="H80">
        <v>1</v>
      </c>
      <c r="I80">
        <v>3</v>
      </c>
      <c r="J80" t="str">
        <f>IF(Table3[[#This Row],[Rating]]="","Missing",IF(Table3[[#This Row],[Rating]]&lt;3,"Poor",IF(Table3[[#This Row],[Rating]]&lt;=4.5,"Average","Excellent")))</f>
        <v>Average</v>
      </c>
      <c r="K80" t="str">
        <f>IF(OR(Table3[[#This Row],[Rating]]&lt;0,Table3[[#This Row],[Rating]]&gt;5),"Check rating",IF(OR(Table3[[#This Row],[Discount]]&lt;0,Table3[[#This Row],[Discount]]&gt;1),"Check discount",IF(Table3[[#This Row],[Current Price]]&gt;Table3[[#This Row],[Old Price]],"Check prices","OK")))</f>
        <v>OK</v>
      </c>
    </row>
    <row r="81" spans="1:11" x14ac:dyDescent="0.25">
      <c r="A81" t="s">
        <v>245</v>
      </c>
      <c r="B81" s="11">
        <v>979</v>
      </c>
      <c r="C81" s="11" t="str">
        <f>IF(Table3[[#This Row],[Current Price]]="","Missing",IF(Table3[[#This Row],[Current Price]]&lt;=Price_Q1,"Low Price",IF(Table3[[#This Row],[Current Price]]&lt;=Price_Q3,"Medium Price","High Price")))</f>
        <v>Medium Price</v>
      </c>
      <c r="D81" s="11">
        <v>1920</v>
      </c>
      <c r="E81" s="1">
        <v>0.49</v>
      </c>
      <c r="F81" s="1" t="str">
        <f>IF(Table3[[#This Row],[Discount]]="","Missing",IF(Table3[[#This Row],[Discount]]&lt;0.2,"Low Discount",IF(Table3[[#This Row],[Discount]]&lt;=0.4,"Medium Discount","High Discount")))</f>
        <v>High Discount</v>
      </c>
      <c r="G81" s="11">
        <f>Table3[[#This Row],[Old Price]]-Table3[[#This Row],[Current Price]]</f>
        <v>941</v>
      </c>
      <c r="H81">
        <v>1</v>
      </c>
      <c r="I81">
        <v>5</v>
      </c>
      <c r="J81" t="str">
        <f>IF(Table3[[#This Row],[Rating]]="","Missing",IF(Table3[[#This Row],[Rating]]&lt;3,"Poor",IF(Table3[[#This Row],[Rating]]&lt;=4.5,"Average","Excellent")))</f>
        <v>Excellent</v>
      </c>
      <c r="K81" t="str">
        <f>IF(OR(Table3[[#This Row],[Rating]]&lt;0,Table3[[#This Row],[Rating]]&gt;5),"Check rating",IF(OR(Table3[[#This Row],[Discount]]&lt;0,Table3[[#This Row],[Discount]]&gt;1),"Check discount",IF(Table3[[#This Row],[Current Price]]&gt;Table3[[#This Row],[Old Price]],"Check prices","OK")))</f>
        <v>OK</v>
      </c>
    </row>
    <row r="82" spans="1:11" x14ac:dyDescent="0.25">
      <c r="A82" t="s">
        <v>248</v>
      </c>
      <c r="B82" s="11">
        <v>1460</v>
      </c>
      <c r="C82" s="11" t="str">
        <f>IF(Table3[[#This Row],[Current Price]]="","Missing",IF(Table3[[#This Row],[Current Price]]&lt;=Price_Q1,"Low Price",IF(Table3[[#This Row],[Current Price]]&lt;=Price_Q3,"Medium Price","High Price")))</f>
        <v>Medium Price</v>
      </c>
      <c r="D82" s="11">
        <v>2290</v>
      </c>
      <c r="E82" s="1">
        <v>0.36</v>
      </c>
      <c r="F82" s="1" t="str">
        <f>IF(Table3[[#This Row],[Discount]]="","Missing",IF(Table3[[#This Row],[Discount]]&lt;0.2,"Low Discount",IF(Table3[[#This Row],[Discount]]&lt;=0.4,"Medium Discount","High Discount")))</f>
        <v>Medium Discount</v>
      </c>
      <c r="G82" s="11">
        <f>Table3[[#This Row],[Old Price]]-Table3[[#This Row],[Current Price]]</f>
        <v>830</v>
      </c>
      <c r="H82" t="s">
        <v>358</v>
      </c>
      <c r="I82" t="s">
        <v>358</v>
      </c>
      <c r="J82" t="str">
        <f>IF(Table3[[#This Row],[Rating]]="","Missing",IF(Table3[[#This Row],[Rating]]&lt;3,"Poor",IF(Table3[[#This Row],[Rating]]&lt;=4.5,"Average","Excellent")))</f>
        <v>Missing</v>
      </c>
      <c r="K82" t="str">
        <f>IF(OR(Table3[[#This Row],[Rating]]&lt;0,Table3[[#This Row],[Rating]]&gt;5),"Check rating",IF(OR(Table3[[#This Row],[Discount]]&lt;0,Table3[[#This Row],[Discount]]&gt;1),"Check discount",IF(Table3[[#This Row],[Current Price]]&gt;Table3[[#This Row],[Old Price]],"Check prices","OK")))</f>
        <v>Check rating</v>
      </c>
    </row>
    <row r="83" spans="1:11" x14ac:dyDescent="0.25">
      <c r="A83" t="s">
        <v>251</v>
      </c>
      <c r="B83" s="11">
        <v>1666</v>
      </c>
      <c r="C83" s="11" t="str">
        <f>IF(Table3[[#This Row],[Current Price]]="","Missing",IF(Table3[[#This Row],[Current Price]]&lt;=Price_Q1,"Low Price",IF(Table3[[#This Row],[Current Price]]&lt;=Price_Q3,"Medium Price","High Price")))</f>
        <v>Medium Price</v>
      </c>
      <c r="D83" s="11">
        <v>1699</v>
      </c>
      <c r="E83" s="1">
        <v>0.02</v>
      </c>
      <c r="F83" s="1" t="str">
        <f>IF(Table3[[#This Row],[Discount]]="","Missing",IF(Table3[[#This Row],[Discount]]&lt;0.2,"Low Discount",IF(Table3[[#This Row],[Discount]]&lt;=0.4,"Medium Discount","High Discount")))</f>
        <v>Low Discount</v>
      </c>
      <c r="G83" s="11">
        <f>Table3[[#This Row],[Old Price]]-Table3[[#This Row],[Current Price]]</f>
        <v>33</v>
      </c>
      <c r="H83" t="s">
        <v>358</v>
      </c>
      <c r="I83" t="s">
        <v>358</v>
      </c>
      <c r="J83" t="str">
        <f>IF(Table3[[#This Row],[Rating]]="","Missing",IF(Table3[[#This Row],[Rating]]&lt;3,"Poor",IF(Table3[[#This Row],[Rating]]&lt;=4.5,"Average","Excellent")))</f>
        <v>Missing</v>
      </c>
      <c r="K83" t="str">
        <f>IF(OR(Table3[[#This Row],[Rating]]&lt;0,Table3[[#This Row],[Rating]]&gt;5),"Check rating",IF(OR(Table3[[#This Row],[Discount]]&lt;0,Table3[[#This Row],[Discount]]&gt;1),"Check discount",IF(Table3[[#This Row],[Current Price]]&gt;Table3[[#This Row],[Old Price]],"Check prices","OK")))</f>
        <v>Check rating</v>
      </c>
    </row>
    <row r="84" spans="1:11" x14ac:dyDescent="0.25">
      <c r="A84" t="s">
        <v>253</v>
      </c>
      <c r="B84" s="11">
        <v>330</v>
      </c>
      <c r="C84" s="11" t="str">
        <f>IF(Table3[[#This Row],[Current Price]]="","Missing",IF(Table3[[#This Row],[Current Price]]&lt;=Price_Q1,"Low Price",IF(Table3[[#This Row],[Current Price]]&lt;=Price_Q3,"Medium Price","High Price")))</f>
        <v>Low Price</v>
      </c>
      <c r="D84" s="11">
        <v>647</v>
      </c>
      <c r="E84" s="1">
        <v>0.49</v>
      </c>
      <c r="F84" s="1" t="str">
        <f>IF(Table3[[#This Row],[Discount]]="","Missing",IF(Table3[[#This Row],[Discount]]&lt;0.2,"Low Discount",IF(Table3[[#This Row],[Discount]]&lt;=0.4,"Medium Discount","High Discount")))</f>
        <v>High Discount</v>
      </c>
      <c r="G84" s="11">
        <f>Table3[[#This Row],[Old Price]]-Table3[[#This Row],[Current Price]]</f>
        <v>317</v>
      </c>
      <c r="H84">
        <v>1</v>
      </c>
      <c r="I84">
        <v>4</v>
      </c>
      <c r="J84" t="str">
        <f>IF(Table3[[#This Row],[Rating]]="","Missing",IF(Table3[[#This Row],[Rating]]&lt;3,"Poor",IF(Table3[[#This Row],[Rating]]&lt;=4.5,"Average","Excellent")))</f>
        <v>Average</v>
      </c>
      <c r="K84" t="str">
        <f>IF(OR(Table3[[#This Row],[Rating]]&lt;0,Table3[[#This Row],[Rating]]&gt;5),"Check rating",IF(OR(Table3[[#This Row],[Discount]]&lt;0,Table3[[#This Row],[Discount]]&gt;1),"Check discount",IF(Table3[[#This Row],[Current Price]]&gt;Table3[[#This Row],[Old Price]],"Check prices","OK")))</f>
        <v>OK</v>
      </c>
    </row>
    <row r="85" spans="1:11" x14ac:dyDescent="0.25">
      <c r="A85" t="s">
        <v>154</v>
      </c>
      <c r="B85" s="11">
        <v>176</v>
      </c>
      <c r="C85" s="11" t="str">
        <f>IF(Table3[[#This Row],[Current Price]]="","Missing",IF(Table3[[#This Row],[Current Price]]&lt;=Price_Q1,"Low Price",IF(Table3[[#This Row],[Current Price]]&lt;=Price_Q3,"Medium Price","High Price")))</f>
        <v>Low Price</v>
      </c>
      <c r="D85" s="11">
        <v>345</v>
      </c>
      <c r="E85" s="1">
        <v>0.49</v>
      </c>
      <c r="F85" s="1" t="str">
        <f>IF(Table3[[#This Row],[Discount]]="","Missing",IF(Table3[[#This Row],[Discount]]&lt;0.2,"Low Discount",IF(Table3[[#This Row],[Discount]]&lt;=0.4,"Medium Discount","High Discount")))</f>
        <v>High Discount</v>
      </c>
      <c r="G85" s="11">
        <f>Table3[[#This Row],[Old Price]]-Table3[[#This Row],[Current Price]]</f>
        <v>169</v>
      </c>
      <c r="H85" t="s">
        <v>358</v>
      </c>
      <c r="I85" t="s">
        <v>358</v>
      </c>
      <c r="J85" t="str">
        <f>IF(Table3[[#This Row],[Rating]]="","Missing",IF(Table3[[#This Row],[Rating]]&lt;3,"Poor",IF(Table3[[#This Row],[Rating]]&lt;=4.5,"Average","Excellent")))</f>
        <v>Missing</v>
      </c>
      <c r="K85" t="str">
        <f>IF(OR(Table3[[#This Row],[Rating]]&lt;0,Table3[[#This Row],[Rating]]&gt;5),"Check rating",IF(OR(Table3[[#This Row],[Discount]]&lt;0,Table3[[#This Row],[Discount]]&gt;1),"Check discount",IF(Table3[[#This Row],[Current Price]]&gt;Table3[[#This Row],[Old Price]],"Check prices","OK")))</f>
        <v>Check rating</v>
      </c>
    </row>
    <row r="86" spans="1:11" x14ac:dyDescent="0.25">
      <c r="A86" t="s">
        <v>256</v>
      </c>
      <c r="B86" s="11">
        <v>1466</v>
      </c>
      <c r="C86" s="11" t="str">
        <f>IF(Table3[[#This Row],[Current Price]]="","Missing",IF(Table3[[#This Row],[Current Price]]&lt;=Price_Q1,"Low Price",IF(Table3[[#This Row],[Current Price]]&lt;=Price_Q3,"Medium Price","High Price")))</f>
        <v>Medium Price</v>
      </c>
      <c r="D86" s="11">
        <v>1699</v>
      </c>
      <c r="E86" s="1">
        <v>0.14000000000000001</v>
      </c>
      <c r="F86" s="1" t="str">
        <f>IF(Table3[[#This Row],[Discount]]="","Missing",IF(Table3[[#This Row],[Discount]]&lt;0.2,"Low Discount",IF(Table3[[#This Row],[Discount]]&lt;=0.4,"Medium Discount","High Discount")))</f>
        <v>Low Discount</v>
      </c>
      <c r="G86" s="11">
        <f>Table3[[#This Row],[Old Price]]-Table3[[#This Row],[Current Price]]</f>
        <v>233</v>
      </c>
      <c r="H86" t="s">
        <v>358</v>
      </c>
      <c r="I86" t="s">
        <v>358</v>
      </c>
      <c r="J86" t="str">
        <f>IF(Table3[[#This Row],[Rating]]="","Missing",IF(Table3[[#This Row],[Rating]]&lt;3,"Poor",IF(Table3[[#This Row],[Rating]]&lt;=4.5,"Average","Excellent")))</f>
        <v>Missing</v>
      </c>
      <c r="K86" t="str">
        <f>IF(OR(Table3[[#This Row],[Rating]]&lt;0,Table3[[#This Row],[Rating]]&gt;5),"Check rating",IF(OR(Table3[[#This Row],[Discount]]&lt;0,Table3[[#This Row],[Discount]]&gt;1),"Check discount",IF(Table3[[#This Row],[Current Price]]&gt;Table3[[#This Row],[Old Price]],"Check prices","OK")))</f>
        <v>Check rating</v>
      </c>
    </row>
    <row r="87" spans="1:11" x14ac:dyDescent="0.25">
      <c r="A87" t="s">
        <v>258</v>
      </c>
      <c r="B87" s="11">
        <v>274</v>
      </c>
      <c r="C87" s="11" t="str">
        <f>IF(Table3[[#This Row],[Current Price]]="","Missing",IF(Table3[[#This Row],[Current Price]]&lt;=Price_Q1,"Low Price",IF(Table3[[#This Row],[Current Price]]&lt;=Price_Q3,"Medium Price","High Price")))</f>
        <v>Low Price</v>
      </c>
      <c r="D87" s="11">
        <v>537</v>
      </c>
      <c r="E87" s="1">
        <v>0.49</v>
      </c>
      <c r="F87" s="1" t="str">
        <f>IF(Table3[[#This Row],[Discount]]="","Missing",IF(Table3[[#This Row],[Discount]]&lt;0.2,"Low Discount",IF(Table3[[#This Row],[Discount]]&lt;=0.4,"Medium Discount","High Discount")))</f>
        <v>High Discount</v>
      </c>
      <c r="G87" s="11">
        <f>Table3[[#This Row],[Old Price]]-Table3[[#This Row],[Current Price]]</f>
        <v>263</v>
      </c>
      <c r="H87" t="s">
        <v>358</v>
      </c>
      <c r="I87" t="s">
        <v>358</v>
      </c>
      <c r="J87" t="str">
        <f>IF(Table3[[#This Row],[Rating]]="","Missing",IF(Table3[[#This Row],[Rating]]&lt;3,"Poor",IF(Table3[[#This Row],[Rating]]&lt;=4.5,"Average","Excellent")))</f>
        <v>Missing</v>
      </c>
      <c r="K87" t="str">
        <f>IF(OR(Table3[[#This Row],[Rating]]&lt;0,Table3[[#This Row],[Rating]]&gt;5),"Check rating",IF(OR(Table3[[#This Row],[Discount]]&lt;0,Table3[[#This Row],[Discount]]&gt;1),"Check discount",IF(Table3[[#This Row],[Current Price]]&gt;Table3[[#This Row],[Old Price]],"Check prices","OK")))</f>
        <v>Check rating</v>
      </c>
    </row>
    <row r="88" spans="1:11" x14ac:dyDescent="0.25">
      <c r="A88" t="s">
        <v>261</v>
      </c>
      <c r="B88" s="11">
        <v>799</v>
      </c>
      <c r="C88" s="11" t="str">
        <f>IF(Table3[[#This Row],[Current Price]]="","Missing",IF(Table3[[#This Row],[Current Price]]&lt;=Price_Q1,"Low Price",IF(Table3[[#This Row],[Current Price]]&lt;=Price_Q3,"Medium Price","High Price")))</f>
        <v>Medium Price</v>
      </c>
      <c r="D88" s="11">
        <v>900</v>
      </c>
      <c r="E88" s="1">
        <v>0.11</v>
      </c>
      <c r="F88" s="1" t="str">
        <f>IF(Table3[[#This Row],[Discount]]="","Missing",IF(Table3[[#This Row],[Discount]]&lt;0.2,"Low Discount",IF(Table3[[#This Row],[Discount]]&lt;=0.4,"Medium Discount","High Discount")))</f>
        <v>Low Discount</v>
      </c>
      <c r="G88" s="11">
        <f>Table3[[#This Row],[Old Price]]-Table3[[#This Row],[Current Price]]</f>
        <v>101</v>
      </c>
      <c r="H88" t="s">
        <v>358</v>
      </c>
      <c r="I88" t="s">
        <v>358</v>
      </c>
      <c r="J88" t="str">
        <f>IF(Table3[[#This Row],[Rating]]="","Missing",IF(Table3[[#This Row],[Rating]]&lt;3,"Poor",IF(Table3[[#This Row],[Rating]]&lt;=4.5,"Average","Excellent")))</f>
        <v>Missing</v>
      </c>
      <c r="K88" t="str">
        <f>IF(OR(Table3[[#This Row],[Rating]]&lt;0,Table3[[#This Row],[Rating]]&gt;5),"Check rating",IF(OR(Table3[[#This Row],[Discount]]&lt;0,Table3[[#This Row],[Discount]]&gt;1),"Check discount",IF(Table3[[#This Row],[Current Price]]&gt;Table3[[#This Row],[Old Price]],"Check prices","OK")))</f>
        <v>Check rating</v>
      </c>
    </row>
    <row r="89" spans="1:11" x14ac:dyDescent="0.25">
      <c r="A89" t="s">
        <v>175</v>
      </c>
      <c r="B89" s="11">
        <v>657</v>
      </c>
      <c r="C89" s="11" t="str">
        <f>IF(Table3[[#This Row],[Current Price]]="","Missing",IF(Table3[[#This Row],[Current Price]]&lt;=Price_Q1,"Low Price",IF(Table3[[#This Row],[Current Price]]&lt;=Price_Q3,"Medium Price","High Price")))</f>
        <v>Medium Price</v>
      </c>
      <c r="D89" s="11">
        <v>1288</v>
      </c>
      <c r="E89" s="1">
        <v>0.49</v>
      </c>
      <c r="F89" s="1" t="str">
        <f>IF(Table3[[#This Row],[Discount]]="","Missing",IF(Table3[[#This Row],[Discount]]&lt;0.2,"Low Discount",IF(Table3[[#This Row],[Discount]]&lt;=0.4,"Medium Discount","High Discount")))</f>
        <v>High Discount</v>
      </c>
      <c r="G89" s="11">
        <f>Table3[[#This Row],[Old Price]]-Table3[[#This Row],[Current Price]]</f>
        <v>631</v>
      </c>
      <c r="H89" t="s">
        <v>358</v>
      </c>
      <c r="I89" t="s">
        <v>358</v>
      </c>
      <c r="J89" t="str">
        <f>IF(Table3[[#This Row],[Rating]]="","Missing",IF(Table3[[#This Row],[Rating]]&lt;3,"Poor",IF(Table3[[#This Row],[Rating]]&lt;=4.5,"Average","Excellent")))</f>
        <v>Missing</v>
      </c>
      <c r="K89" t="str">
        <f>IF(OR(Table3[[#This Row],[Rating]]&lt;0,Table3[[#This Row],[Rating]]&gt;5),"Check rating",IF(OR(Table3[[#This Row],[Discount]]&lt;0,Table3[[#This Row],[Discount]]&gt;1),"Check discount",IF(Table3[[#This Row],[Current Price]]&gt;Table3[[#This Row],[Old Price]],"Check prices","OK")))</f>
        <v>Check rating</v>
      </c>
    </row>
    <row r="90" spans="1:11" x14ac:dyDescent="0.25">
      <c r="A90" t="s">
        <v>264</v>
      </c>
      <c r="B90" s="11">
        <v>1468</v>
      </c>
      <c r="C90" s="11" t="str">
        <f>IF(Table3[[#This Row],[Current Price]]="","Missing",IF(Table3[[#This Row],[Current Price]]&lt;=Price_Q1,"Low Price",IF(Table3[[#This Row],[Current Price]]&lt;=Price_Q3,"Medium Price","High Price")))</f>
        <v>Medium Price</v>
      </c>
      <c r="D90" s="11">
        <v>1699</v>
      </c>
      <c r="E90" s="1">
        <v>0.14000000000000001</v>
      </c>
      <c r="F90" s="1" t="str">
        <f>IF(Table3[[#This Row],[Discount]]="","Missing",IF(Table3[[#This Row],[Discount]]&lt;0.2,"Low Discount",IF(Table3[[#This Row],[Discount]]&lt;=0.4,"Medium Discount","High Discount")))</f>
        <v>Low Discount</v>
      </c>
      <c r="G90" s="11">
        <f>Table3[[#This Row],[Old Price]]-Table3[[#This Row],[Current Price]]</f>
        <v>231</v>
      </c>
      <c r="H90" t="s">
        <v>358</v>
      </c>
      <c r="I90" t="s">
        <v>358</v>
      </c>
      <c r="J90" t="str">
        <f>IF(Table3[[#This Row],[Rating]]="","Missing",IF(Table3[[#This Row],[Rating]]&lt;3,"Poor",IF(Table3[[#This Row],[Rating]]&lt;=4.5,"Average","Excellent")))</f>
        <v>Missing</v>
      </c>
      <c r="K90" t="str">
        <f>IF(OR(Table3[[#This Row],[Rating]]&lt;0,Table3[[#This Row],[Rating]]&gt;5),"Check rating",IF(OR(Table3[[#This Row],[Discount]]&lt;0,Table3[[#This Row],[Discount]]&gt;1),"Check discount",IF(Table3[[#This Row],[Current Price]]&gt;Table3[[#This Row],[Old Price]],"Check prices","OK")))</f>
        <v>Check rating</v>
      </c>
    </row>
    <row r="91" spans="1:11" x14ac:dyDescent="0.25">
      <c r="A91" t="s">
        <v>266</v>
      </c>
      <c r="B91" s="11">
        <v>630</v>
      </c>
      <c r="C91" s="11" t="str">
        <f>IF(Table3[[#This Row],[Current Price]]="","Missing",IF(Table3[[#This Row],[Current Price]]&lt;=Price_Q1,"Low Price",IF(Table3[[#This Row],[Current Price]]&lt;=Price_Q3,"Medium Price","High Price")))</f>
        <v>Medium Price</v>
      </c>
      <c r="D91" s="11">
        <v>1100</v>
      </c>
      <c r="E91" s="1">
        <v>0.43</v>
      </c>
      <c r="F91" s="1" t="str">
        <f>IF(Table3[[#This Row],[Discount]]="","Missing",IF(Table3[[#This Row],[Discount]]&lt;0.2,"Low Discount",IF(Table3[[#This Row],[Discount]]&lt;=0.4,"Medium Discount","High Discount")))</f>
        <v>High Discount</v>
      </c>
      <c r="G91" s="11">
        <f>Table3[[#This Row],[Old Price]]-Table3[[#This Row],[Current Price]]</f>
        <v>470</v>
      </c>
      <c r="H91" t="s">
        <v>358</v>
      </c>
      <c r="I91" t="s">
        <v>358</v>
      </c>
      <c r="J91" t="str">
        <f>IF(Table3[[#This Row],[Rating]]="","Missing",IF(Table3[[#This Row],[Rating]]&lt;3,"Poor",IF(Table3[[#This Row],[Rating]]&lt;=4.5,"Average","Excellent")))</f>
        <v>Missing</v>
      </c>
      <c r="K91" t="str">
        <f>IF(OR(Table3[[#This Row],[Rating]]&lt;0,Table3[[#This Row],[Rating]]&gt;5),"Check rating",IF(OR(Table3[[#This Row],[Discount]]&lt;0,Table3[[#This Row],[Discount]]&gt;1),"Check discount",IF(Table3[[#This Row],[Current Price]]&gt;Table3[[#This Row],[Old Price]],"Check prices","OK")))</f>
        <v>Check rating</v>
      </c>
    </row>
    <row r="92" spans="1:11" x14ac:dyDescent="0.25">
      <c r="A92" t="s">
        <v>269</v>
      </c>
      <c r="B92" s="11">
        <v>850</v>
      </c>
      <c r="C92" s="11" t="str">
        <f>IF(Table3[[#This Row],[Current Price]]="","Missing",IF(Table3[[#This Row],[Current Price]]&lt;=Price_Q1,"Low Price",IF(Table3[[#This Row],[Current Price]]&lt;=Price_Q3,"Medium Price","High Price")))</f>
        <v>Medium Price</v>
      </c>
      <c r="D92" s="11">
        <v>1700</v>
      </c>
      <c r="E92" s="1">
        <v>0.5</v>
      </c>
      <c r="F92" s="1" t="str">
        <f>IF(Table3[[#This Row],[Discount]]="","Missing",IF(Table3[[#This Row],[Discount]]&lt;0.2,"Low Discount",IF(Table3[[#This Row],[Discount]]&lt;=0.4,"Medium Discount","High Discount")))</f>
        <v>High Discount</v>
      </c>
      <c r="G92" s="11">
        <f>Table3[[#This Row],[Old Price]]-Table3[[#This Row],[Current Price]]</f>
        <v>850</v>
      </c>
      <c r="H92" t="s">
        <v>358</v>
      </c>
      <c r="I92" t="s">
        <v>358</v>
      </c>
      <c r="J92" t="str">
        <f>IF(Table3[[#This Row],[Rating]]="","Missing",IF(Table3[[#This Row],[Rating]]&lt;3,"Poor",IF(Table3[[#This Row],[Rating]]&lt;=4.5,"Average","Excellent")))</f>
        <v>Missing</v>
      </c>
      <c r="K92" t="str">
        <f>IF(OR(Table3[[#This Row],[Rating]]&lt;0,Table3[[#This Row],[Rating]]&gt;5),"Check rating",IF(OR(Table3[[#This Row],[Discount]]&lt;0,Table3[[#This Row],[Discount]]&gt;1),"Check discount",IF(Table3[[#This Row],[Current Price]]&gt;Table3[[#This Row],[Old Price]],"Check prices","OK")))</f>
        <v>Check rating</v>
      </c>
    </row>
    <row r="93" spans="1:11" x14ac:dyDescent="0.25">
      <c r="A93" t="s">
        <v>272</v>
      </c>
      <c r="B93" s="11">
        <v>1300</v>
      </c>
      <c r="C93" s="11" t="str">
        <f>IF(Table3[[#This Row],[Current Price]]="","Missing",IF(Table3[[#This Row],[Current Price]]&lt;=Price_Q1,"Low Price",IF(Table3[[#This Row],[Current Price]]&lt;=Price_Q3,"Medium Price","High Price")))</f>
        <v>Medium Price</v>
      </c>
      <c r="D93" s="11">
        <v>2500</v>
      </c>
      <c r="E93" s="1">
        <v>0.48</v>
      </c>
      <c r="F93" s="1" t="str">
        <f>IF(Table3[[#This Row],[Discount]]="","Missing",IF(Table3[[#This Row],[Discount]]&lt;0.2,"Low Discount",IF(Table3[[#This Row],[Discount]]&lt;=0.4,"Medium Discount","High Discount")))</f>
        <v>High Discount</v>
      </c>
      <c r="G93" s="11">
        <f>Table3[[#This Row],[Old Price]]-Table3[[#This Row],[Current Price]]</f>
        <v>1200</v>
      </c>
      <c r="H93" t="s">
        <v>358</v>
      </c>
      <c r="I93" t="s">
        <v>358</v>
      </c>
      <c r="J93" t="str">
        <f>IF(Table3[[#This Row],[Rating]]="","Missing",IF(Table3[[#This Row],[Rating]]&lt;3,"Poor",IF(Table3[[#This Row],[Rating]]&lt;=4.5,"Average","Excellent")))</f>
        <v>Missing</v>
      </c>
      <c r="K93" t="str">
        <f>IF(OR(Table3[[#This Row],[Rating]]&lt;0,Table3[[#This Row],[Rating]]&gt;5),"Check rating",IF(OR(Table3[[#This Row],[Discount]]&lt;0,Table3[[#This Row],[Discount]]&gt;1),"Check discount",IF(Table3[[#This Row],[Current Price]]&gt;Table3[[#This Row],[Old Price]],"Check prices","OK")))</f>
        <v>Check rating</v>
      </c>
    </row>
    <row r="94" spans="1:11" x14ac:dyDescent="0.25">
      <c r="A94" t="s">
        <v>274</v>
      </c>
      <c r="B94" s="11">
        <v>105</v>
      </c>
      <c r="C94" s="11" t="str">
        <f>IF(Table3[[#This Row],[Current Price]]="","Missing",IF(Table3[[#This Row],[Current Price]]&lt;=Price_Q1,"Low Price",IF(Table3[[#This Row],[Current Price]]&lt;=Price_Q3,"Medium Price","High Price")))</f>
        <v>Low Price</v>
      </c>
      <c r="D94" s="11">
        <v>200</v>
      </c>
      <c r="E94" s="1">
        <v>0.48</v>
      </c>
      <c r="F94" s="1" t="str">
        <f>IF(Table3[[#This Row],[Discount]]="","Missing",IF(Table3[[#This Row],[Discount]]&lt;0.2,"Low Discount",IF(Table3[[#This Row],[Discount]]&lt;=0.4,"Medium Discount","High Discount")))</f>
        <v>High Discount</v>
      </c>
      <c r="G94" s="11">
        <f>Table3[[#This Row],[Old Price]]-Table3[[#This Row],[Current Price]]</f>
        <v>95</v>
      </c>
      <c r="H94" t="s">
        <v>358</v>
      </c>
      <c r="I94" t="s">
        <v>358</v>
      </c>
      <c r="J94" t="str">
        <f>IF(Table3[[#This Row],[Rating]]="","Missing",IF(Table3[[#This Row],[Rating]]&lt;3,"Poor",IF(Table3[[#This Row],[Rating]]&lt;=4.5,"Average","Excellent")))</f>
        <v>Missing</v>
      </c>
      <c r="K94" t="str">
        <f>IF(OR(Table3[[#This Row],[Rating]]&lt;0,Table3[[#This Row],[Rating]]&gt;5),"Check rating",IF(OR(Table3[[#This Row],[Discount]]&lt;0,Table3[[#This Row],[Discount]]&gt;1),"Check discount",IF(Table3[[#This Row],[Current Price]]&gt;Table3[[#This Row],[Old Price]],"Check prices","OK")))</f>
        <v>Check rating</v>
      </c>
    </row>
    <row r="95" spans="1:11" x14ac:dyDescent="0.25">
      <c r="A95" t="s">
        <v>277</v>
      </c>
      <c r="B95" s="11">
        <v>899</v>
      </c>
      <c r="C95" s="11" t="str">
        <f>IF(Table3[[#This Row],[Current Price]]="","Missing",IF(Table3[[#This Row],[Current Price]]&lt;=Price_Q1,"Low Price",IF(Table3[[#This Row],[Current Price]]&lt;=Price_Q3,"Medium Price","High Price")))</f>
        <v>Medium Price</v>
      </c>
      <c r="D95" s="11">
        <v>1699</v>
      </c>
      <c r="E95" s="1">
        <v>0.47</v>
      </c>
      <c r="F95" s="1" t="str">
        <f>IF(Table3[[#This Row],[Discount]]="","Missing",IF(Table3[[#This Row],[Discount]]&lt;0.2,"Low Discount",IF(Table3[[#This Row],[Discount]]&lt;=0.4,"Medium Discount","High Discount")))</f>
        <v>High Discount</v>
      </c>
      <c r="G95" s="11">
        <f>Table3[[#This Row],[Old Price]]-Table3[[#This Row],[Current Price]]</f>
        <v>800</v>
      </c>
      <c r="H95" t="s">
        <v>358</v>
      </c>
      <c r="I95" t="s">
        <v>358</v>
      </c>
      <c r="J95" t="str">
        <f>IF(Table3[[#This Row],[Rating]]="","Missing",IF(Table3[[#This Row],[Rating]]&lt;3,"Poor",IF(Table3[[#This Row],[Rating]]&lt;=4.5,"Average","Excellent")))</f>
        <v>Missing</v>
      </c>
      <c r="K95" t="str">
        <f>IF(OR(Table3[[#This Row],[Rating]]&lt;0,Table3[[#This Row],[Rating]]&gt;5),"Check rating",IF(OR(Table3[[#This Row],[Discount]]&lt;0,Table3[[#This Row],[Discount]]&gt;1),"Check discount",IF(Table3[[#This Row],[Current Price]]&gt;Table3[[#This Row],[Old Price]],"Check prices","OK")))</f>
        <v>Check rating</v>
      </c>
    </row>
    <row r="96" spans="1:11" x14ac:dyDescent="0.25">
      <c r="A96" t="s">
        <v>278</v>
      </c>
      <c r="B96" s="11">
        <v>1200</v>
      </c>
      <c r="C96" s="11" t="str">
        <f>IF(Table3[[#This Row],[Current Price]]="","Missing",IF(Table3[[#This Row],[Current Price]]&lt;=Price_Q1,"Low Price",IF(Table3[[#This Row],[Current Price]]&lt;=Price_Q3,"Medium Price","High Price")))</f>
        <v>Medium Price</v>
      </c>
      <c r="D96" s="11">
        <v>2400</v>
      </c>
      <c r="E96" s="1">
        <v>0.5</v>
      </c>
      <c r="F96" s="1" t="str">
        <f>IF(Table3[[#This Row],[Discount]]="","Missing",IF(Table3[[#This Row],[Discount]]&lt;0.2,"Low Discount",IF(Table3[[#This Row],[Discount]]&lt;=0.4,"Medium Discount","High Discount")))</f>
        <v>High Discount</v>
      </c>
      <c r="G96" s="11">
        <f>Table3[[#This Row],[Old Price]]-Table3[[#This Row],[Current Price]]</f>
        <v>1200</v>
      </c>
      <c r="H96" t="s">
        <v>358</v>
      </c>
      <c r="I96" t="s">
        <v>358</v>
      </c>
      <c r="J96" t="str">
        <f>IF(Table3[[#This Row],[Rating]]="","Missing",IF(Table3[[#This Row],[Rating]]&lt;3,"Poor",IF(Table3[[#This Row],[Rating]]&lt;=4.5,"Average","Excellent")))</f>
        <v>Missing</v>
      </c>
      <c r="K96" t="str">
        <f>IF(OR(Table3[[#This Row],[Rating]]&lt;0,Table3[[#This Row],[Rating]]&gt;5),"Check rating",IF(OR(Table3[[#This Row],[Discount]]&lt;0,Table3[[#This Row],[Discount]]&gt;1),"Check discount",IF(Table3[[#This Row],[Current Price]]&gt;Table3[[#This Row],[Old Price]],"Check prices","OK")))</f>
        <v>Check rating</v>
      </c>
    </row>
    <row r="97" spans="1:11" x14ac:dyDescent="0.25">
      <c r="A97" t="s">
        <v>280</v>
      </c>
      <c r="B97" s="11">
        <v>1526</v>
      </c>
      <c r="C97" s="11" t="str">
        <f>IF(Table3[[#This Row],[Current Price]]="","Missing",IF(Table3[[#This Row],[Current Price]]&lt;=Price_Q1,"Low Price",IF(Table3[[#This Row],[Current Price]]&lt;=Price_Q3,"Medium Price","High Price")))</f>
        <v>Medium Price</v>
      </c>
      <c r="D97" s="11">
        <v>1660</v>
      </c>
      <c r="E97" s="1">
        <v>0.08</v>
      </c>
      <c r="F97" s="1" t="str">
        <f>IF(Table3[[#This Row],[Discount]]="","Missing",IF(Table3[[#This Row],[Discount]]&lt;0.2,"Low Discount",IF(Table3[[#This Row],[Discount]]&lt;=0.4,"Medium Discount","High Discount")))</f>
        <v>Low Discount</v>
      </c>
      <c r="G97" s="11">
        <f>Table3[[#This Row],[Old Price]]-Table3[[#This Row],[Current Price]]</f>
        <v>134</v>
      </c>
      <c r="H97" t="s">
        <v>358</v>
      </c>
      <c r="I97" t="s">
        <v>358</v>
      </c>
      <c r="J97" t="str">
        <f>IF(Table3[[#This Row],[Rating]]="","Missing",IF(Table3[[#This Row],[Rating]]&lt;3,"Poor",IF(Table3[[#This Row],[Rating]]&lt;=4.5,"Average","Excellent")))</f>
        <v>Missing</v>
      </c>
      <c r="K97" t="str">
        <f>IF(OR(Table3[[#This Row],[Rating]]&lt;0,Table3[[#This Row],[Rating]]&gt;5),"Check rating",IF(OR(Table3[[#This Row],[Discount]]&lt;0,Table3[[#This Row],[Discount]]&gt;1),"Check discount",IF(Table3[[#This Row],[Current Price]]&gt;Table3[[#This Row],[Old Price]],"Check prices","OK")))</f>
        <v>Check rating</v>
      </c>
    </row>
    <row r="98" spans="1:11" x14ac:dyDescent="0.25">
      <c r="A98" t="s">
        <v>282</v>
      </c>
      <c r="B98" s="11">
        <v>1462</v>
      </c>
      <c r="C98" s="11" t="str">
        <f>IF(Table3[[#This Row],[Current Price]]="","Missing",IF(Table3[[#This Row],[Current Price]]&lt;=Price_Q1,"Low Price",IF(Table3[[#This Row],[Current Price]]&lt;=Price_Q3,"Medium Price","High Price")))</f>
        <v>Medium Price</v>
      </c>
      <c r="D98" s="11">
        <v>1499</v>
      </c>
      <c r="E98" s="1">
        <v>0.02</v>
      </c>
      <c r="F98" s="1" t="str">
        <f>IF(Table3[[#This Row],[Discount]]="","Missing",IF(Table3[[#This Row],[Discount]]&lt;0.2,"Low Discount",IF(Table3[[#This Row],[Discount]]&lt;=0.4,"Medium Discount","High Discount")))</f>
        <v>Low Discount</v>
      </c>
      <c r="G98" s="11">
        <f>Table3[[#This Row],[Old Price]]-Table3[[#This Row],[Current Price]]</f>
        <v>37</v>
      </c>
      <c r="H98" t="s">
        <v>358</v>
      </c>
      <c r="I98" t="s">
        <v>358</v>
      </c>
      <c r="J98" t="str">
        <f>IF(Table3[[#This Row],[Rating]]="","Missing",IF(Table3[[#This Row],[Rating]]&lt;3,"Poor",IF(Table3[[#This Row],[Rating]]&lt;=4.5,"Average","Excellent")))</f>
        <v>Missing</v>
      </c>
      <c r="K98" t="str">
        <f>IF(OR(Table3[[#This Row],[Rating]]&lt;0,Table3[[#This Row],[Rating]]&gt;5),"Check rating",IF(OR(Table3[[#This Row],[Discount]]&lt;0,Table3[[#This Row],[Discount]]&gt;1),"Check discount",IF(Table3[[#This Row],[Current Price]]&gt;Table3[[#This Row],[Old Price]],"Check prices","OK")))</f>
        <v>Check rating</v>
      </c>
    </row>
    <row r="99" spans="1:11" x14ac:dyDescent="0.25">
      <c r="A99" t="s">
        <v>284</v>
      </c>
      <c r="B99" s="11">
        <v>248</v>
      </c>
      <c r="C99" s="11" t="str">
        <f>IF(Table3[[#This Row],[Current Price]]="","Missing",IF(Table3[[#This Row],[Current Price]]&lt;=Price_Q1,"Low Price",IF(Table3[[#This Row],[Current Price]]&lt;=Price_Q3,"Medium Price","High Price")))</f>
        <v>Low Price</v>
      </c>
      <c r="D99" s="11">
        <v>486</v>
      </c>
      <c r="E99" s="1">
        <v>0.49</v>
      </c>
      <c r="F99" s="1" t="str">
        <f>IF(Table3[[#This Row],[Discount]]="","Missing",IF(Table3[[#This Row],[Discount]]&lt;0.2,"Low Discount",IF(Table3[[#This Row],[Discount]]&lt;=0.4,"Medium Discount","High Discount")))</f>
        <v>High Discount</v>
      </c>
      <c r="G99" s="11">
        <f>Table3[[#This Row],[Old Price]]-Table3[[#This Row],[Current Price]]</f>
        <v>238</v>
      </c>
      <c r="H99" t="s">
        <v>358</v>
      </c>
      <c r="I99" t="s">
        <v>358</v>
      </c>
      <c r="J99" t="str">
        <f>IF(Table3[[#This Row],[Rating]]="","Missing",IF(Table3[[#This Row],[Rating]]&lt;3,"Poor",IF(Table3[[#This Row],[Rating]]&lt;=4.5,"Average","Excellent")))</f>
        <v>Missing</v>
      </c>
      <c r="K99" t="str">
        <f>IF(OR(Table3[[#This Row],[Rating]]&lt;0,Table3[[#This Row],[Rating]]&gt;5),"Check rating",IF(OR(Table3[[#This Row],[Discount]]&lt;0,Table3[[#This Row],[Discount]]&gt;1),"Check discount",IF(Table3[[#This Row],[Current Price]]&gt;Table3[[#This Row],[Old Price]],"Check prices","OK")))</f>
        <v>Check rating</v>
      </c>
    </row>
    <row r="100" spans="1:11" x14ac:dyDescent="0.25">
      <c r="A100" t="s">
        <v>287</v>
      </c>
      <c r="B100" s="11">
        <v>3546</v>
      </c>
      <c r="C100" s="11" t="str">
        <f>IF(Table3[[#This Row],[Current Price]]="","Missing",IF(Table3[[#This Row],[Current Price]]&lt;=Price_Q1,"Low Price",IF(Table3[[#This Row],[Current Price]]&lt;=Price_Q3,"Medium Price","High Price")))</f>
        <v>High Price</v>
      </c>
      <c r="D100" s="11">
        <v>3699</v>
      </c>
      <c r="E100" s="1">
        <v>0.04</v>
      </c>
      <c r="F100" s="1" t="str">
        <f>IF(Table3[[#This Row],[Discount]]="","Missing",IF(Table3[[#This Row],[Discount]]&lt;0.2,"Low Discount",IF(Table3[[#This Row],[Discount]]&lt;=0.4,"Medium Discount","High Discount")))</f>
        <v>Low Discount</v>
      </c>
      <c r="G100" s="11">
        <f>Table3[[#This Row],[Old Price]]-Table3[[#This Row],[Current Price]]</f>
        <v>153</v>
      </c>
      <c r="H100" t="s">
        <v>358</v>
      </c>
      <c r="I100" t="s">
        <v>358</v>
      </c>
      <c r="J100" t="str">
        <f>IF(Table3[[#This Row],[Rating]]="","Missing",IF(Table3[[#This Row],[Rating]]&lt;3,"Poor",IF(Table3[[#This Row],[Rating]]&lt;=4.5,"Average","Excellent")))</f>
        <v>Missing</v>
      </c>
      <c r="K100" t="str">
        <f>IF(OR(Table3[[#This Row],[Rating]]&lt;0,Table3[[#This Row],[Rating]]&gt;5),"Check rating",IF(OR(Table3[[#This Row],[Discount]]&lt;0,Table3[[#This Row],[Discount]]&gt;1),"Check discount",IF(Table3[[#This Row],[Current Price]]&gt;Table3[[#This Row],[Old Price]],"Check prices","OK")))</f>
        <v>Check rating</v>
      </c>
    </row>
    <row r="101" spans="1:11" x14ac:dyDescent="0.25">
      <c r="A101" t="s">
        <v>289</v>
      </c>
      <c r="B101" s="11">
        <v>525</v>
      </c>
      <c r="C101" s="11" t="str">
        <f>IF(Table3[[#This Row],[Current Price]]="","Missing",IF(Table3[[#This Row],[Current Price]]&lt;=Price_Q1,"Low Price",IF(Table3[[#This Row],[Current Price]]&lt;=Price_Q3,"Medium Price","High Price")))</f>
        <v>Medium Price</v>
      </c>
      <c r="D101" s="11">
        <v>1029</v>
      </c>
      <c r="E101" s="1">
        <v>0.49</v>
      </c>
      <c r="F101" s="1" t="str">
        <f>IF(Table3[[#This Row],[Discount]]="","Missing",IF(Table3[[#This Row],[Discount]]&lt;0.2,"Low Discount",IF(Table3[[#This Row],[Discount]]&lt;=0.4,"Medium Discount","High Discount")))</f>
        <v>High Discount</v>
      </c>
      <c r="G101" s="11">
        <f>Table3[[#This Row],[Old Price]]-Table3[[#This Row],[Current Price]]</f>
        <v>504</v>
      </c>
      <c r="H101" t="s">
        <v>358</v>
      </c>
      <c r="I101" t="s">
        <v>358</v>
      </c>
      <c r="J101" t="str">
        <f>IF(Table3[[#This Row],[Rating]]="","Missing",IF(Table3[[#This Row],[Rating]]&lt;3,"Poor",IF(Table3[[#This Row],[Rating]]&lt;=4.5,"Average","Excellent")))</f>
        <v>Missing</v>
      </c>
      <c r="K101" t="str">
        <f>IF(OR(Table3[[#This Row],[Rating]]&lt;0,Table3[[#This Row],[Rating]]&gt;5),"Check rating",IF(OR(Table3[[#This Row],[Discount]]&lt;0,Table3[[#This Row],[Discount]]&gt;1),"Check discount",IF(Table3[[#This Row],[Current Price]]&gt;Table3[[#This Row],[Old Price]],"Check prices","OK")))</f>
        <v>Check rating</v>
      </c>
    </row>
    <row r="102" spans="1:11" x14ac:dyDescent="0.25">
      <c r="A102" t="s">
        <v>292</v>
      </c>
      <c r="B102" s="11">
        <v>1080</v>
      </c>
      <c r="C102" s="11" t="str">
        <f>IF(Table3[[#This Row],[Current Price]]="","Missing",IF(Table3[[#This Row],[Current Price]]&lt;=Price_Q1,"Low Price",IF(Table3[[#This Row],[Current Price]]&lt;=Price_Q3,"Medium Price","High Price")))</f>
        <v>Medium Price</v>
      </c>
      <c r="D102" s="11">
        <v>1874</v>
      </c>
      <c r="E102" s="1">
        <v>0.42</v>
      </c>
      <c r="F102" s="1" t="str">
        <f>IF(Table3[[#This Row],[Discount]]="","Missing",IF(Table3[[#This Row],[Discount]]&lt;0.2,"Low Discount",IF(Table3[[#This Row],[Discount]]&lt;=0.4,"Medium Discount","High Discount")))</f>
        <v>High Discount</v>
      </c>
      <c r="G102" s="11">
        <f>Table3[[#This Row],[Old Price]]-Table3[[#This Row],[Current Price]]</f>
        <v>794</v>
      </c>
      <c r="H102" t="s">
        <v>358</v>
      </c>
      <c r="I102" t="s">
        <v>358</v>
      </c>
      <c r="J102" t="str">
        <f>IF(Table3[[#This Row],[Rating]]="","Missing",IF(Table3[[#This Row],[Rating]]&lt;3,"Poor",IF(Table3[[#This Row],[Rating]]&lt;=4.5,"Average","Excellent")))</f>
        <v>Missing</v>
      </c>
      <c r="K102" t="str">
        <f>IF(OR(Table3[[#This Row],[Rating]]&lt;0,Table3[[#This Row],[Rating]]&gt;5),"Check rating",IF(OR(Table3[[#This Row],[Discount]]&lt;0,Table3[[#This Row],[Discount]]&gt;1),"Check discount",IF(Table3[[#This Row],[Current Price]]&gt;Table3[[#This Row],[Old Price]],"Check prices","OK")))</f>
        <v>Check rating</v>
      </c>
    </row>
    <row r="103" spans="1:11" x14ac:dyDescent="0.25">
      <c r="A103" t="s">
        <v>295</v>
      </c>
      <c r="B103" s="11">
        <v>3640</v>
      </c>
      <c r="C103" s="11" t="str">
        <f>IF(Table3[[#This Row],[Current Price]]="","Missing",IF(Table3[[#This Row],[Current Price]]&lt;=Price_Q1,"Low Price",IF(Table3[[#This Row],[Current Price]]&lt;=Price_Q3,"Medium Price","High Price")))</f>
        <v>High Price</v>
      </c>
      <c r="D103" s="11">
        <v>4588</v>
      </c>
      <c r="E103" s="1">
        <v>0.21</v>
      </c>
      <c r="F103" s="1" t="str">
        <f>IF(Table3[[#This Row],[Discount]]="","Missing",IF(Table3[[#This Row],[Discount]]&lt;0.2,"Low Discount",IF(Table3[[#This Row],[Discount]]&lt;=0.4,"Medium Discount","High Discount")))</f>
        <v>Medium Discount</v>
      </c>
      <c r="G103" s="11">
        <f>Table3[[#This Row],[Old Price]]-Table3[[#This Row],[Current Price]]</f>
        <v>948</v>
      </c>
      <c r="H103">
        <v>1</v>
      </c>
      <c r="I103">
        <v>5</v>
      </c>
      <c r="J103" t="str">
        <f>IF(Table3[[#This Row],[Rating]]="","Missing",IF(Table3[[#This Row],[Rating]]&lt;3,"Poor",IF(Table3[[#This Row],[Rating]]&lt;=4.5,"Average","Excellent")))</f>
        <v>Excellent</v>
      </c>
      <c r="K103" t="str">
        <f>IF(OR(Table3[[#This Row],[Rating]]&lt;0,Table3[[#This Row],[Rating]]&gt;5),"Check rating",IF(OR(Table3[[#This Row],[Discount]]&lt;0,Table3[[#This Row],[Discount]]&gt;1),"Check discount",IF(Table3[[#This Row],[Current Price]]&gt;Table3[[#This Row],[Old Price]],"Check prices","OK")))</f>
        <v>OK</v>
      </c>
    </row>
    <row r="104" spans="1:11" x14ac:dyDescent="0.25">
      <c r="A104" t="s">
        <v>298</v>
      </c>
      <c r="B104" s="11">
        <v>1420</v>
      </c>
      <c r="C104" s="11" t="str">
        <f>IF(Table3[[#This Row],[Current Price]]="","Missing",IF(Table3[[#This Row],[Current Price]]&lt;=Price_Q1,"Low Price",IF(Table3[[#This Row],[Current Price]]&lt;=Price_Q3,"Medium Price","High Price")))</f>
        <v>Medium Price</v>
      </c>
      <c r="D104" s="11">
        <v>2420</v>
      </c>
      <c r="E104" s="1">
        <v>0.41</v>
      </c>
      <c r="F104" s="1" t="str">
        <f>IF(Table3[[#This Row],[Discount]]="","Missing",IF(Table3[[#This Row],[Discount]]&lt;0.2,"Low Discount",IF(Table3[[#This Row],[Discount]]&lt;=0.4,"Medium Discount","High Discount")))</f>
        <v>High Discount</v>
      </c>
      <c r="G104" s="11">
        <f>Table3[[#This Row],[Old Price]]-Table3[[#This Row],[Current Price]]</f>
        <v>1000</v>
      </c>
      <c r="H104" t="s">
        <v>358</v>
      </c>
      <c r="I104" t="s">
        <v>358</v>
      </c>
      <c r="J104" t="str">
        <f>IF(Table3[[#This Row],[Rating]]="","Missing",IF(Table3[[#This Row],[Rating]]&lt;3,"Poor",IF(Table3[[#This Row],[Rating]]&lt;=4.5,"Average","Excellent")))</f>
        <v>Missing</v>
      </c>
      <c r="K104" t="str">
        <f>IF(OR(Table3[[#This Row],[Rating]]&lt;0,Table3[[#This Row],[Rating]]&gt;5),"Check rating",IF(OR(Table3[[#This Row],[Discount]]&lt;0,Table3[[#This Row],[Discount]]&gt;1),"Check discount",IF(Table3[[#This Row],[Current Price]]&gt;Table3[[#This Row],[Old Price]],"Check prices","OK")))</f>
        <v>Check rating</v>
      </c>
    </row>
    <row r="105" spans="1:11" x14ac:dyDescent="0.25">
      <c r="A105" t="s">
        <v>301</v>
      </c>
      <c r="B105" s="11">
        <v>1875</v>
      </c>
      <c r="C105" s="11" t="str">
        <f>IF(Table3[[#This Row],[Current Price]]="","Missing",IF(Table3[[#This Row],[Current Price]]&lt;=Price_Q1,"Low Price",IF(Table3[[#This Row],[Current Price]]&lt;=Price_Q3,"Medium Price","High Price")))</f>
        <v>High Price</v>
      </c>
      <c r="D105" s="11">
        <v>1899</v>
      </c>
      <c r="E105" s="1">
        <v>0.01</v>
      </c>
      <c r="F105" s="1" t="str">
        <f>IF(Table3[[#This Row],[Discount]]="","Missing",IF(Table3[[#This Row],[Discount]]&lt;0.2,"Low Discount",IF(Table3[[#This Row],[Discount]]&lt;=0.4,"Medium Discount","High Discount")))</f>
        <v>Low Discount</v>
      </c>
      <c r="G105" s="11">
        <f>Table3[[#This Row],[Old Price]]-Table3[[#This Row],[Current Price]]</f>
        <v>24</v>
      </c>
      <c r="H105" t="s">
        <v>358</v>
      </c>
      <c r="I105" t="s">
        <v>358</v>
      </c>
      <c r="J105" t="str">
        <f>IF(Table3[[#This Row],[Rating]]="","Missing",IF(Table3[[#This Row],[Rating]]&lt;3,"Poor",IF(Table3[[#This Row],[Rating]]&lt;=4.5,"Average","Excellent")))</f>
        <v>Missing</v>
      </c>
      <c r="K105" t="str">
        <f>IF(OR(Table3[[#This Row],[Rating]]&lt;0,Table3[[#This Row],[Rating]]&gt;5),"Check rating",IF(OR(Table3[[#This Row],[Discount]]&lt;0,Table3[[#This Row],[Discount]]&gt;1),"Check discount",IF(Table3[[#This Row],[Current Price]]&gt;Table3[[#This Row],[Old Price]],"Check prices","OK")))</f>
        <v>Check rating</v>
      </c>
    </row>
    <row r="106" spans="1:11" x14ac:dyDescent="0.25">
      <c r="A106" t="s">
        <v>304</v>
      </c>
      <c r="B106" s="11">
        <v>198</v>
      </c>
      <c r="C106" s="11" t="str">
        <f>IF(Table3[[#This Row],[Current Price]]="","Missing",IF(Table3[[#This Row],[Current Price]]&lt;=Price_Q1,"Low Price",IF(Table3[[#This Row],[Current Price]]&lt;=Price_Q3,"Medium Price","High Price")))</f>
        <v>Low Price</v>
      </c>
      <c r="D106" s="11">
        <v>260</v>
      </c>
      <c r="E106" s="1">
        <v>0.24</v>
      </c>
      <c r="F106" s="1" t="str">
        <f>IF(Table3[[#This Row],[Discount]]="","Missing",IF(Table3[[#This Row],[Discount]]&lt;0.2,"Low Discount",IF(Table3[[#This Row],[Discount]]&lt;=0.4,"Medium Discount","High Discount")))</f>
        <v>Medium Discount</v>
      </c>
      <c r="G106" s="11">
        <f>Table3[[#This Row],[Old Price]]-Table3[[#This Row],[Current Price]]</f>
        <v>62</v>
      </c>
      <c r="H106" t="s">
        <v>358</v>
      </c>
      <c r="I106" t="s">
        <v>358</v>
      </c>
      <c r="J106" t="str">
        <f>IF(Table3[[#This Row],[Rating]]="","Missing",IF(Table3[[#This Row],[Rating]]&lt;3,"Poor",IF(Table3[[#This Row],[Rating]]&lt;=4.5,"Average","Excellent")))</f>
        <v>Missing</v>
      </c>
      <c r="K106" t="str">
        <f>IF(OR(Table3[[#This Row],[Rating]]&lt;0,Table3[[#This Row],[Rating]]&gt;5),"Check rating",IF(OR(Table3[[#This Row],[Discount]]&lt;0,Table3[[#This Row],[Discount]]&gt;1),"Check discount",IF(Table3[[#This Row],[Current Price]]&gt;Table3[[#This Row],[Old Price]],"Check prices","OK")))</f>
        <v>Check rating</v>
      </c>
    </row>
    <row r="107" spans="1:11" x14ac:dyDescent="0.25">
      <c r="A107" t="s">
        <v>307</v>
      </c>
      <c r="B107" s="11">
        <v>1150</v>
      </c>
      <c r="C107" s="11" t="str">
        <f>IF(Table3[[#This Row],[Current Price]]="","Missing",IF(Table3[[#This Row],[Current Price]]&lt;=Price_Q1,"Low Price",IF(Table3[[#This Row],[Current Price]]&lt;=Price_Q3,"Medium Price","High Price")))</f>
        <v>Medium Price</v>
      </c>
      <c r="D107" s="11">
        <v>1737</v>
      </c>
      <c r="E107" s="1">
        <v>0.34</v>
      </c>
      <c r="F107" s="1" t="str">
        <f>IF(Table3[[#This Row],[Discount]]="","Missing",IF(Table3[[#This Row],[Discount]]&lt;0.2,"Low Discount",IF(Table3[[#This Row],[Discount]]&lt;=0.4,"Medium Discount","High Discount")))</f>
        <v>Medium Discount</v>
      </c>
      <c r="G107" s="11">
        <f>Table3[[#This Row],[Old Price]]-Table3[[#This Row],[Current Price]]</f>
        <v>587</v>
      </c>
      <c r="H107" t="s">
        <v>358</v>
      </c>
      <c r="I107" t="s">
        <v>358</v>
      </c>
      <c r="J107" t="str">
        <f>IF(Table3[[#This Row],[Rating]]="","Missing",IF(Table3[[#This Row],[Rating]]&lt;3,"Poor",IF(Table3[[#This Row],[Rating]]&lt;=4.5,"Average","Excellent")))</f>
        <v>Missing</v>
      </c>
      <c r="K107" t="str">
        <f>IF(OR(Table3[[#This Row],[Rating]]&lt;0,Table3[[#This Row],[Rating]]&gt;5),"Check rating",IF(OR(Table3[[#This Row],[Discount]]&lt;0,Table3[[#This Row],[Discount]]&gt;1),"Check discount",IF(Table3[[#This Row],[Current Price]]&gt;Table3[[#This Row],[Old Price]],"Check prices","OK")))</f>
        <v>Check rating</v>
      </c>
    </row>
    <row r="108" spans="1:11" x14ac:dyDescent="0.25">
      <c r="A108" t="s">
        <v>310</v>
      </c>
      <c r="B108" s="11">
        <v>1190</v>
      </c>
      <c r="C108" s="11" t="str">
        <f>IF(Table3[[#This Row],[Current Price]]="","Missing",IF(Table3[[#This Row],[Current Price]]&lt;=Price_Q1,"Low Price",IF(Table3[[#This Row],[Current Price]]&lt;=Price_Q3,"Medium Price","High Price")))</f>
        <v>Medium Price</v>
      </c>
      <c r="D108" s="11">
        <v>1810</v>
      </c>
      <c r="E108" s="1">
        <v>0.34</v>
      </c>
      <c r="F108" s="1" t="str">
        <f>IF(Table3[[#This Row],[Discount]]="","Missing",IF(Table3[[#This Row],[Discount]]&lt;0.2,"Low Discount",IF(Table3[[#This Row],[Discount]]&lt;=0.4,"Medium Discount","High Discount")))</f>
        <v>Medium Discount</v>
      </c>
      <c r="G108" s="11">
        <f>Table3[[#This Row],[Old Price]]-Table3[[#This Row],[Current Price]]</f>
        <v>620</v>
      </c>
      <c r="H108" t="s">
        <v>358</v>
      </c>
      <c r="I108" t="s">
        <v>358</v>
      </c>
      <c r="J108" t="str">
        <f>IF(Table3[[#This Row],[Rating]]="","Missing",IF(Table3[[#This Row],[Rating]]&lt;3,"Poor",IF(Table3[[#This Row],[Rating]]&lt;=4.5,"Average","Excellent")))</f>
        <v>Missing</v>
      </c>
      <c r="K108" t="str">
        <f>IF(OR(Table3[[#This Row],[Rating]]&lt;0,Table3[[#This Row],[Rating]]&gt;5),"Check rating",IF(OR(Table3[[#This Row],[Discount]]&lt;0,Table3[[#This Row],[Discount]]&gt;1),"Check discount",IF(Table3[[#This Row],[Current Price]]&gt;Table3[[#This Row],[Old Price]],"Check prices","OK")))</f>
        <v>Check rating</v>
      </c>
    </row>
    <row r="109" spans="1:11" x14ac:dyDescent="0.25">
      <c r="A109" t="s">
        <v>312</v>
      </c>
      <c r="B109" s="11">
        <v>1658</v>
      </c>
      <c r="C109" s="11" t="str">
        <f>IF(Table3[[#This Row],[Current Price]]="","Missing",IF(Table3[[#This Row],[Current Price]]&lt;=Price_Q1,"Low Price",IF(Table3[[#This Row],[Current Price]]&lt;=Price_Q3,"Medium Price","High Price")))</f>
        <v>Medium Price</v>
      </c>
      <c r="D109" s="11">
        <v>1699</v>
      </c>
      <c r="E109" s="1">
        <v>0.02</v>
      </c>
      <c r="F109" s="1" t="str">
        <f>IF(Table3[[#This Row],[Discount]]="","Missing",IF(Table3[[#This Row],[Discount]]&lt;0.2,"Low Discount",IF(Table3[[#This Row],[Discount]]&lt;=0.4,"Medium Discount","High Discount")))</f>
        <v>Low Discount</v>
      </c>
      <c r="G109" s="11">
        <f>Table3[[#This Row],[Old Price]]-Table3[[#This Row],[Current Price]]</f>
        <v>41</v>
      </c>
      <c r="H109" t="s">
        <v>358</v>
      </c>
      <c r="I109" t="s">
        <v>358</v>
      </c>
      <c r="J109" t="str">
        <f>IF(Table3[[#This Row],[Rating]]="","Missing",IF(Table3[[#This Row],[Rating]]&lt;3,"Poor",IF(Table3[[#This Row],[Rating]]&lt;=4.5,"Average","Excellent")))</f>
        <v>Missing</v>
      </c>
      <c r="K109" t="str">
        <f>IF(OR(Table3[[#This Row],[Rating]]&lt;0,Table3[[#This Row],[Rating]]&gt;5),"Check rating",IF(OR(Table3[[#This Row],[Discount]]&lt;0,Table3[[#This Row],[Discount]]&gt;1),"Check discount",IF(Table3[[#This Row],[Current Price]]&gt;Table3[[#This Row],[Old Price]],"Check prices","OK")))</f>
        <v>Check rating</v>
      </c>
    </row>
    <row r="110" spans="1:11" x14ac:dyDescent="0.25">
      <c r="A110" t="s">
        <v>314</v>
      </c>
      <c r="B110" s="11">
        <v>1768</v>
      </c>
      <c r="C110" s="11" t="str">
        <f>IF(Table3[[#This Row],[Current Price]]="","Missing",IF(Table3[[#This Row],[Current Price]]&lt;=Price_Q1,"Low Price",IF(Table3[[#This Row],[Current Price]]&lt;=Price_Q3,"Medium Price","High Price")))</f>
        <v>High Price</v>
      </c>
      <c r="D110" s="11">
        <v>1799</v>
      </c>
      <c r="E110" s="1">
        <v>0.02</v>
      </c>
      <c r="F110" s="1" t="str">
        <f>IF(Table3[[#This Row],[Discount]]="","Missing",IF(Table3[[#This Row],[Discount]]&lt;0.2,"Low Discount",IF(Table3[[#This Row],[Discount]]&lt;=0.4,"Medium Discount","High Discount")))</f>
        <v>Low Discount</v>
      </c>
      <c r="G110" s="11">
        <f>Table3[[#This Row],[Old Price]]-Table3[[#This Row],[Current Price]]</f>
        <v>31</v>
      </c>
      <c r="H110" t="s">
        <v>358</v>
      </c>
      <c r="I110" t="s">
        <v>358</v>
      </c>
      <c r="J110" t="str">
        <f>IF(Table3[[#This Row],[Rating]]="","Missing",IF(Table3[[#This Row],[Rating]]&lt;3,"Poor",IF(Table3[[#This Row],[Rating]]&lt;=4.5,"Average","Excellent")))</f>
        <v>Missing</v>
      </c>
      <c r="K110" t="str">
        <f>IF(OR(Table3[[#This Row],[Rating]]&lt;0,Table3[[#This Row],[Rating]]&gt;5),"Check rating",IF(OR(Table3[[#This Row],[Discount]]&lt;0,Table3[[#This Row],[Discount]]&gt;1),"Check discount",IF(Table3[[#This Row],[Current Price]]&gt;Table3[[#This Row],[Old Price]],"Check prices","OK")))</f>
        <v>Check rating</v>
      </c>
    </row>
    <row r="111" spans="1:11" x14ac:dyDescent="0.25">
      <c r="A111" t="s">
        <v>316</v>
      </c>
      <c r="B111" s="11">
        <v>199</v>
      </c>
      <c r="C111" s="11" t="str">
        <f>IF(Table3[[#This Row],[Current Price]]="","Missing",IF(Table3[[#This Row],[Current Price]]&lt;=Price_Q1,"Low Price",IF(Table3[[#This Row],[Current Price]]&lt;=Price_Q3,"Medium Price","High Price")))</f>
        <v>Low Price</v>
      </c>
      <c r="D111" s="11">
        <v>553</v>
      </c>
      <c r="E111" s="1">
        <v>0.64</v>
      </c>
      <c r="F111" s="1" t="str">
        <f>IF(Table3[[#This Row],[Discount]]="","Missing",IF(Table3[[#This Row],[Discount]]&lt;0.2,"Low Discount",IF(Table3[[#This Row],[Discount]]&lt;=0.4,"Medium Discount","High Discount")))</f>
        <v>High Discount</v>
      </c>
      <c r="G111" s="11">
        <f>Table3[[#This Row],[Old Price]]-Table3[[#This Row],[Current Price]]</f>
        <v>354</v>
      </c>
      <c r="H111" t="s">
        <v>358</v>
      </c>
      <c r="I111" t="s">
        <v>358</v>
      </c>
      <c r="J111" t="str">
        <f>IF(Table3[[#This Row],[Rating]]="","Missing",IF(Table3[[#This Row],[Rating]]&lt;3,"Poor",IF(Table3[[#This Row],[Rating]]&lt;=4.5,"Average","Excellent")))</f>
        <v>Missing</v>
      </c>
      <c r="K111" t="str">
        <f>IF(OR(Table3[[#This Row],[Rating]]&lt;0,Table3[[#This Row],[Rating]]&gt;5),"Check rating",IF(OR(Table3[[#This Row],[Discount]]&lt;0,Table3[[#This Row],[Discount]]&gt;1),"Check discount",IF(Table3[[#This Row],[Current Price]]&gt;Table3[[#This Row],[Old Price]],"Check prices","OK")))</f>
        <v>Check rating</v>
      </c>
    </row>
    <row r="112" spans="1:11" x14ac:dyDescent="0.25">
      <c r="A112" t="s">
        <v>318</v>
      </c>
      <c r="B112" s="11">
        <v>450</v>
      </c>
      <c r="C112" s="11" t="str">
        <f>IF(Table3[[#This Row],[Current Price]]="","Missing",IF(Table3[[#This Row],[Current Price]]&lt;=Price_Q1,"Low Price",IF(Table3[[#This Row],[Current Price]]&lt;=Price_Q3,"Medium Price","High Price")))</f>
        <v>Low Price</v>
      </c>
      <c r="D112" s="11">
        <v>900</v>
      </c>
      <c r="E112" s="1">
        <v>0.5</v>
      </c>
      <c r="F112" s="1" t="str">
        <f>IF(Table3[[#This Row],[Discount]]="","Missing",IF(Table3[[#This Row],[Discount]]&lt;0.2,"Low Discount",IF(Table3[[#This Row],[Discount]]&lt;=0.4,"Medium Discount","High Discount")))</f>
        <v>High Discount</v>
      </c>
      <c r="G112" s="11">
        <f>Table3[[#This Row],[Old Price]]-Table3[[#This Row],[Current Price]]</f>
        <v>450</v>
      </c>
      <c r="H112">
        <v>1</v>
      </c>
      <c r="I112">
        <v>2</v>
      </c>
      <c r="J112" t="str">
        <f>IF(Table3[[#This Row],[Rating]]="","Missing",IF(Table3[[#This Row],[Rating]]&lt;3,"Poor",IF(Table3[[#This Row],[Rating]]&lt;=4.5,"Average","Excellent")))</f>
        <v>Poor</v>
      </c>
      <c r="K112" t="str">
        <f>IF(OR(Table3[[#This Row],[Rating]]&lt;0,Table3[[#This Row],[Rating]]&gt;5),"Check rating",IF(OR(Table3[[#This Row],[Discount]]&lt;0,Table3[[#This Row],[Discount]]&gt;1),"Check discount",IF(Table3[[#This Row],[Current Price]]&gt;Table3[[#This Row],[Old Price]],"Check prices","OK")))</f>
        <v>OK</v>
      </c>
    </row>
    <row r="113" spans="1:11" x14ac:dyDescent="0.25">
      <c r="A113" t="s">
        <v>320</v>
      </c>
      <c r="B113" s="11">
        <v>169</v>
      </c>
      <c r="C113" s="11" t="str">
        <f>IF(Table3[[#This Row],[Current Price]]="","Missing",IF(Table3[[#This Row],[Current Price]]&lt;=Price_Q1,"Low Price",IF(Table3[[#This Row],[Current Price]]&lt;=Price_Q3,"Medium Price","High Price")))</f>
        <v>Low Price</v>
      </c>
      <c r="D113" s="11">
        <v>320</v>
      </c>
      <c r="E113" s="1">
        <v>0.47</v>
      </c>
      <c r="F113" s="1" t="str">
        <f>IF(Table3[[#This Row],[Discount]]="","Missing",IF(Table3[[#This Row],[Discount]]&lt;0.2,"Low Discount",IF(Table3[[#This Row],[Discount]]&lt;=0.4,"Medium Discount","High Discount")))</f>
        <v>High Discount</v>
      </c>
      <c r="G113" s="11">
        <f>Table3[[#This Row],[Old Price]]-Table3[[#This Row],[Current Price]]</f>
        <v>151</v>
      </c>
      <c r="H113" t="s">
        <v>358</v>
      </c>
      <c r="I113" t="s">
        <v>358</v>
      </c>
      <c r="J113" t="str">
        <f>IF(Table3[[#This Row],[Rating]]="","Missing",IF(Table3[[#This Row],[Rating]]&lt;3,"Poor",IF(Table3[[#This Row],[Rating]]&lt;=4.5,"Average","Excellent")))</f>
        <v>Missing</v>
      </c>
      <c r="K113" t="str">
        <f>IF(OR(Table3[[#This Row],[Rating]]&lt;0,Table3[[#This Row],[Rating]]&gt;5),"Check rating",IF(OR(Table3[[#This Row],[Discount]]&lt;0,Table3[[#This Row],[Discount]]&gt;1),"Check discount",IF(Table3[[#This Row],[Current Price]]&gt;Table3[[#This Row],[Old Price]],"Check prices","OK")))</f>
        <v>Check rating</v>
      </c>
    </row>
    <row r="114" spans="1:11" x14ac:dyDescent="0.25">
      <c r="B114"/>
      <c r="C114"/>
      <c r="D114"/>
    </row>
    <row r="115" spans="1:11" x14ac:dyDescent="0.25">
      <c r="B115"/>
      <c r="C115"/>
      <c r="D115"/>
    </row>
    <row r="116" spans="1:11" x14ac:dyDescent="0.25">
      <c r="B116"/>
      <c r="C116"/>
      <c r="D116"/>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3BCA4-C103-4525-BC09-13A9DB9863ED}">
  <dimension ref="B1:I21"/>
  <sheetViews>
    <sheetView topLeftCell="C6" workbookViewId="0">
      <selection activeCell="H19" sqref="H19"/>
    </sheetView>
  </sheetViews>
  <sheetFormatPr defaultRowHeight="15" x14ac:dyDescent="0.25"/>
  <cols>
    <col min="2" max="2" width="134" bestFit="1" customWidth="1"/>
    <col min="3" max="3" width="9.28515625" customWidth="1"/>
    <col min="4" max="4" width="19.85546875" customWidth="1"/>
    <col min="8" max="8" width="16.140625" customWidth="1"/>
  </cols>
  <sheetData>
    <row r="1" spans="2:9" ht="15.75" x14ac:dyDescent="0.25">
      <c r="B1" s="12" t="s">
        <v>363</v>
      </c>
      <c r="C1" s="28" t="s">
        <v>365</v>
      </c>
      <c r="D1" s="28"/>
      <c r="E1" s="28"/>
      <c r="F1" s="28"/>
      <c r="G1" s="28"/>
      <c r="H1" s="28"/>
      <c r="I1" s="28"/>
    </row>
    <row r="2" spans="2:9" ht="15.75" customHeight="1" x14ac:dyDescent="0.25">
      <c r="B2" t="s">
        <v>375</v>
      </c>
      <c r="C2" s="13"/>
      <c r="D2" t="s">
        <v>366</v>
      </c>
      <c r="I2" s="13"/>
    </row>
    <row r="3" spans="2:9" x14ac:dyDescent="0.25">
      <c r="B3" t="s">
        <v>350</v>
      </c>
      <c r="D3" t="s">
        <v>368</v>
      </c>
    </row>
    <row r="4" spans="2:9" x14ac:dyDescent="0.25">
      <c r="D4" t="s">
        <v>370</v>
      </c>
    </row>
    <row r="5" spans="2:9" x14ac:dyDescent="0.25">
      <c r="B5" t="s">
        <v>352</v>
      </c>
      <c r="D5" t="s">
        <v>371</v>
      </c>
    </row>
    <row r="6" spans="2:9" x14ac:dyDescent="0.25">
      <c r="B6" t="s">
        <v>351</v>
      </c>
      <c r="D6" t="s">
        <v>377</v>
      </c>
    </row>
    <row r="7" spans="2:9" x14ac:dyDescent="0.25">
      <c r="B7" t="s">
        <v>355</v>
      </c>
    </row>
    <row r="8" spans="2:9" x14ac:dyDescent="0.25">
      <c r="D8" s="7" t="s">
        <v>373</v>
      </c>
    </row>
    <row r="9" spans="2:9" x14ac:dyDescent="0.25">
      <c r="B9" t="s">
        <v>354</v>
      </c>
      <c r="D9" t="s">
        <v>392</v>
      </c>
      <c r="E9">
        <v>493</v>
      </c>
    </row>
    <row r="10" spans="2:9" x14ac:dyDescent="0.25">
      <c r="B10" t="s">
        <v>353</v>
      </c>
      <c r="D10" t="s">
        <v>393</v>
      </c>
      <c r="E10">
        <v>1669.5</v>
      </c>
    </row>
    <row r="11" spans="2:9" x14ac:dyDescent="0.25">
      <c r="B11" t="s">
        <v>356</v>
      </c>
    </row>
    <row r="13" spans="2:9" x14ac:dyDescent="0.25">
      <c r="B13" t="s">
        <v>357</v>
      </c>
      <c r="D13" s="7" t="s">
        <v>412</v>
      </c>
    </row>
    <row r="14" spans="2:9" x14ac:dyDescent="0.25">
      <c r="D14" t="s">
        <v>394</v>
      </c>
      <c r="E14" t="s">
        <v>395</v>
      </c>
    </row>
    <row r="15" spans="2:9" ht="30" x14ac:dyDescent="0.25">
      <c r="B15" s="9" t="s">
        <v>360</v>
      </c>
      <c r="D15" t="s">
        <v>396</v>
      </c>
      <c r="E15" t="s">
        <v>397</v>
      </c>
    </row>
    <row r="16" spans="2:9" x14ac:dyDescent="0.25">
      <c r="D16" t="s">
        <v>398</v>
      </c>
      <c r="E16" t="s">
        <v>399</v>
      </c>
    </row>
    <row r="17" spans="2:5" ht="30" x14ac:dyDescent="0.25">
      <c r="B17" s="9" t="s">
        <v>359</v>
      </c>
      <c r="D17" t="s">
        <v>400</v>
      </c>
      <c r="E17" t="s">
        <v>401</v>
      </c>
    </row>
    <row r="18" spans="2:5" x14ac:dyDescent="0.25">
      <c r="D18" t="s">
        <v>402</v>
      </c>
      <c r="E18" t="s">
        <v>403</v>
      </c>
    </row>
    <row r="19" spans="2:5" x14ac:dyDescent="0.25">
      <c r="B19" t="s">
        <v>362</v>
      </c>
      <c r="D19" t="s">
        <v>404</v>
      </c>
      <c r="E19" t="s">
        <v>405</v>
      </c>
    </row>
    <row r="20" spans="2:5" x14ac:dyDescent="0.25">
      <c r="D20" t="s">
        <v>406</v>
      </c>
      <c r="E20" t="s">
        <v>407</v>
      </c>
    </row>
    <row r="21" spans="2:5" x14ac:dyDescent="0.25">
      <c r="D21" t="s">
        <v>408</v>
      </c>
      <c r="E21" t="s">
        <v>409</v>
      </c>
    </row>
  </sheetData>
  <mergeCells count="1">
    <mergeCell ref="C1:I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FCD59-8F60-4CB9-BF02-036D96E5F49D}">
  <dimension ref="B1:R63"/>
  <sheetViews>
    <sheetView topLeftCell="A12" workbookViewId="0">
      <selection activeCell="I27" sqref="I27"/>
    </sheetView>
  </sheetViews>
  <sheetFormatPr defaultRowHeight="15" x14ac:dyDescent="0.25"/>
  <cols>
    <col min="1" max="1" width="9.140625" style="2"/>
    <col min="2" max="2" width="23.7109375" style="2" bestFit="1" customWidth="1"/>
    <col min="3" max="3" width="10" style="2" customWidth="1"/>
    <col min="4" max="9" width="9.140625" style="2"/>
    <col min="10" max="10" width="11.42578125" style="2" customWidth="1"/>
    <col min="11" max="11" width="13.5703125" style="2" customWidth="1"/>
    <col min="12" max="16384" width="9.140625" style="2"/>
  </cols>
  <sheetData>
    <row r="1" spans="2:18" ht="15.75" x14ac:dyDescent="0.25">
      <c r="B1" s="4" t="s">
        <v>323</v>
      </c>
      <c r="C1" s="29" t="s">
        <v>324</v>
      </c>
      <c r="D1" s="29"/>
      <c r="E1" s="29"/>
      <c r="F1" s="29"/>
      <c r="G1" s="29"/>
      <c r="H1" s="29"/>
      <c r="I1" s="29"/>
      <c r="J1" s="29"/>
    </row>
    <row r="3" spans="2:18" x14ac:dyDescent="0.25">
      <c r="B3" s="3" t="s">
        <v>373</v>
      </c>
      <c r="J3" s="31" t="s">
        <v>443</v>
      </c>
      <c r="K3" s="31"/>
      <c r="L3" s="31"/>
      <c r="M3" s="31"/>
      <c r="N3" s="31"/>
      <c r="O3" s="31"/>
    </row>
    <row r="4" spans="2:18" x14ac:dyDescent="0.25">
      <c r="B4" s="2" t="s">
        <v>392</v>
      </c>
      <c r="C4" s="2">
        <f>_xlfn.QUARTILE.INC(tblProducts!B:B,1)</f>
        <v>493</v>
      </c>
    </row>
    <row r="5" spans="2:18" x14ac:dyDescent="0.25">
      <c r="B5" s="2" t="s">
        <v>393</v>
      </c>
      <c r="C5" s="2">
        <f>_xlfn.QUARTILE.INC(tblProducts!B:B,3)</f>
        <v>1669.5</v>
      </c>
      <c r="I5" s="3" t="s">
        <v>442</v>
      </c>
      <c r="M5" s="3" t="s">
        <v>441</v>
      </c>
      <c r="Q5" s="3" t="s">
        <v>445</v>
      </c>
    </row>
    <row r="6" spans="2:18" x14ac:dyDescent="0.25">
      <c r="J6" s="20" t="s">
        <v>439</v>
      </c>
      <c r="K6" s="20"/>
      <c r="M6" s="3" t="s">
        <v>440</v>
      </c>
      <c r="N6" s="3"/>
      <c r="O6" s="3"/>
      <c r="Q6" s="3" t="s">
        <v>444</v>
      </c>
    </row>
    <row r="7" spans="2:18" x14ac:dyDescent="0.25">
      <c r="B7" s="30" t="s">
        <v>384</v>
      </c>
      <c r="C7" s="30"/>
      <c r="J7" s="2" cm="1">
        <f t="array" ref="J7:K63">_xlfn._xlws.FILTER(_xlfn.HSTACK(tblProducts!E:E,tblProducts!H:H), ISNUMBER(tblProducts!H:H))</f>
        <v>0.38</v>
      </c>
      <c r="K7" s="2">
        <v>2</v>
      </c>
      <c r="M7" s="2" cm="1">
        <f t="array" ref="M7:N63">_xlfn._xlws.FILTER(_xlfn.HSTACK(tblProducts!I:I, tblProducts!H:H), ISNUMBER(tblProducts!I:I))</f>
        <v>4.5</v>
      </c>
      <c r="N7" s="2">
        <v>2</v>
      </c>
      <c r="Q7" s="2" cm="1">
        <f t="array" ref="Q7:R63">_xlfn._xlws.FILTER(_xlfn.HSTACK(tblProducts!B:B,tblProducts!I:I),ISNUMBER(tblProducts!I:I))</f>
        <v>950</v>
      </c>
      <c r="R7" s="2">
        <v>4.5</v>
      </c>
    </row>
    <row r="8" spans="2:18" x14ac:dyDescent="0.25">
      <c r="B8" s="2" t="s">
        <v>378</v>
      </c>
      <c r="C8" s="3">
        <f>ROWS(Table3[Product])</f>
        <v>112</v>
      </c>
      <c r="J8" s="2">
        <v>0.47</v>
      </c>
      <c r="K8" s="2">
        <v>14</v>
      </c>
      <c r="M8" s="2">
        <v>4.0999999999999996</v>
      </c>
      <c r="N8" s="2">
        <v>14</v>
      </c>
      <c r="Q8" s="2">
        <v>527</v>
      </c>
      <c r="R8" s="2">
        <v>4.0999999999999996</v>
      </c>
    </row>
    <row r="9" spans="2:18" x14ac:dyDescent="0.25">
      <c r="B9" s="2" t="s">
        <v>379</v>
      </c>
      <c r="C9" s="3">
        <f>AVERAGE(Table3[Current Price])</f>
        <v>1186.8928571428571</v>
      </c>
      <c r="J9" s="2">
        <v>0.25</v>
      </c>
      <c r="K9" s="2">
        <v>24</v>
      </c>
      <c r="M9" s="2">
        <v>4.5999999999999996</v>
      </c>
      <c r="N9" s="2">
        <v>24</v>
      </c>
      <c r="Q9" s="2">
        <v>2199</v>
      </c>
      <c r="R9" s="2">
        <v>4.5999999999999996</v>
      </c>
    </row>
    <row r="10" spans="2:18" x14ac:dyDescent="0.25">
      <c r="B10" s="2" t="s">
        <v>380</v>
      </c>
      <c r="C10" s="3">
        <f>AVERAGE(Table3[Old Price])</f>
        <v>1811.1071428571429</v>
      </c>
      <c r="J10" s="2">
        <v>0.37</v>
      </c>
      <c r="K10" s="2">
        <v>7</v>
      </c>
      <c r="M10" s="2">
        <v>4.7</v>
      </c>
      <c r="N10" s="2">
        <v>7</v>
      </c>
      <c r="Q10" s="2">
        <v>1580</v>
      </c>
      <c r="R10" s="2">
        <v>4.7</v>
      </c>
    </row>
    <row r="11" spans="2:18" x14ac:dyDescent="0.25">
      <c r="B11" s="2" t="s">
        <v>381</v>
      </c>
      <c r="C11" s="14">
        <f>AVERAGE(Table3[Discount])</f>
        <v>0.36776785714285715</v>
      </c>
      <c r="J11" s="2">
        <v>0.26</v>
      </c>
      <c r="K11" s="2">
        <v>5</v>
      </c>
      <c r="M11" s="2">
        <v>4.8</v>
      </c>
      <c r="N11" s="2">
        <v>5</v>
      </c>
      <c r="Q11" s="2">
        <v>1740</v>
      </c>
      <c r="R11" s="2">
        <v>4.8</v>
      </c>
    </row>
    <row r="12" spans="2:18" x14ac:dyDescent="0.25">
      <c r="B12" s="2" t="s">
        <v>382</v>
      </c>
      <c r="C12" s="15">
        <f>AVERAGE(Table3[Rating])</f>
        <v>3.8894736842105258</v>
      </c>
      <c r="J12" s="2">
        <v>0.09</v>
      </c>
      <c r="K12" s="2">
        <v>15</v>
      </c>
      <c r="M12" s="2">
        <v>4</v>
      </c>
      <c r="N12" s="2">
        <v>15</v>
      </c>
      <c r="Q12" s="2">
        <v>2999</v>
      </c>
      <c r="R12" s="2">
        <v>4</v>
      </c>
    </row>
    <row r="13" spans="2:18" x14ac:dyDescent="0.25">
      <c r="B13" s="2" t="s">
        <v>383</v>
      </c>
      <c r="C13" s="3">
        <f>SUM(Table3[Review])</f>
        <v>723</v>
      </c>
      <c r="J13" s="2">
        <v>0.24</v>
      </c>
      <c r="K13" s="2">
        <v>55</v>
      </c>
      <c r="M13" s="2">
        <v>4.5999999999999996</v>
      </c>
      <c r="N13" s="2">
        <v>55</v>
      </c>
      <c r="Q13" s="2">
        <v>2319</v>
      </c>
      <c r="R13" s="2">
        <v>4.5999999999999996</v>
      </c>
    </row>
    <row r="14" spans="2:18" x14ac:dyDescent="0.25">
      <c r="B14" s="2" t="s">
        <v>410</v>
      </c>
      <c r="C14" s="3">
        <f>MAX(Table3[Current Price])</f>
        <v>3750</v>
      </c>
      <c r="J14" s="2">
        <v>0.37</v>
      </c>
      <c r="K14" s="2">
        <v>2</v>
      </c>
      <c r="M14" s="2">
        <v>4</v>
      </c>
      <c r="N14" s="2">
        <v>2</v>
      </c>
      <c r="Q14" s="2">
        <v>988</v>
      </c>
      <c r="R14" s="2">
        <v>4</v>
      </c>
    </row>
    <row r="15" spans="2:18" x14ac:dyDescent="0.25">
      <c r="B15" s="2" t="s">
        <v>411</v>
      </c>
      <c r="C15" s="3">
        <f>MIN(Table3[Current Price])</f>
        <v>38</v>
      </c>
      <c r="J15" s="2">
        <v>0.55000000000000004</v>
      </c>
      <c r="K15" s="2">
        <v>5</v>
      </c>
      <c r="M15" s="2">
        <v>4.8</v>
      </c>
      <c r="N15" s="2">
        <v>5</v>
      </c>
      <c r="Q15" s="2">
        <v>1274</v>
      </c>
      <c r="R15" s="2">
        <v>4.8</v>
      </c>
    </row>
    <row r="16" spans="2:18" x14ac:dyDescent="0.25">
      <c r="C16" s="3"/>
      <c r="J16" s="2">
        <v>0.45</v>
      </c>
      <c r="K16" s="2">
        <v>5</v>
      </c>
      <c r="M16" s="2">
        <v>3.8</v>
      </c>
      <c r="N16" s="2">
        <v>5</v>
      </c>
      <c r="Q16" s="2">
        <v>1600</v>
      </c>
      <c r="R16" s="2">
        <v>3.8</v>
      </c>
    </row>
    <row r="17" spans="2:18" x14ac:dyDescent="0.25">
      <c r="J17" s="2">
        <v>0.2</v>
      </c>
      <c r="K17" s="2">
        <v>12</v>
      </c>
      <c r="M17" s="2">
        <v>4.0999999999999996</v>
      </c>
      <c r="N17" s="2">
        <v>12</v>
      </c>
      <c r="Q17" s="2">
        <v>799</v>
      </c>
      <c r="R17" s="2">
        <v>4.0999999999999996</v>
      </c>
    </row>
    <row r="18" spans="2:18" x14ac:dyDescent="0.25">
      <c r="B18" s="30" t="s">
        <v>385</v>
      </c>
      <c r="C18" s="30"/>
      <c r="D18" s="30"/>
      <c r="J18" s="2">
        <v>0.34</v>
      </c>
      <c r="K18" s="2">
        <v>39</v>
      </c>
      <c r="M18" s="2">
        <v>4.7</v>
      </c>
      <c r="N18" s="2">
        <v>39</v>
      </c>
      <c r="Q18" s="2">
        <v>990</v>
      </c>
      <c r="R18" s="2">
        <v>4.7</v>
      </c>
    </row>
    <row r="19" spans="2:18" x14ac:dyDescent="0.25">
      <c r="B19" s="2" t="s">
        <v>386</v>
      </c>
      <c r="C19" s="3">
        <f>CORREL(tblProducts!E:E,tblProducts!H:H)</f>
        <v>-0.13682272428088296</v>
      </c>
      <c r="D19" s="2" t="s">
        <v>387</v>
      </c>
      <c r="J19" s="2">
        <v>0.47</v>
      </c>
      <c r="K19" s="2">
        <v>12</v>
      </c>
      <c r="M19" s="2">
        <v>4.8</v>
      </c>
      <c r="N19" s="2">
        <v>12</v>
      </c>
      <c r="Q19" s="2">
        <v>552</v>
      </c>
      <c r="R19" s="2">
        <v>4.8</v>
      </c>
    </row>
    <row r="20" spans="2:18" x14ac:dyDescent="0.25">
      <c r="B20" s="2" t="s">
        <v>388</v>
      </c>
      <c r="C20" s="3">
        <f>CORREL(tblProducts!I:I,tblProducts!H:H)</f>
        <v>5.7209035119876482E-2</v>
      </c>
      <c r="D20" s="2" t="s">
        <v>389</v>
      </c>
      <c r="J20" s="2">
        <v>0.42</v>
      </c>
      <c r="K20" s="2">
        <v>6</v>
      </c>
      <c r="M20" s="2">
        <v>4.5</v>
      </c>
      <c r="N20" s="2">
        <v>6</v>
      </c>
      <c r="Q20" s="2">
        <v>501</v>
      </c>
      <c r="R20" s="2">
        <v>4.5</v>
      </c>
    </row>
    <row r="21" spans="2:18" x14ac:dyDescent="0.25">
      <c r="B21" s="2" t="s">
        <v>390</v>
      </c>
      <c r="C21" s="3">
        <f>CORREL(tblProducts!B:B,tblProducts!I:I)</f>
        <v>0.11009021272510708</v>
      </c>
      <c r="D21" s="2" t="s">
        <v>391</v>
      </c>
      <c r="J21" s="2">
        <v>0.33</v>
      </c>
      <c r="K21" s="2">
        <v>9</v>
      </c>
      <c r="M21" s="2">
        <v>4.2</v>
      </c>
      <c r="N21" s="2">
        <v>9</v>
      </c>
      <c r="Q21" s="2">
        <v>1680</v>
      </c>
      <c r="R21" s="2">
        <v>4.2</v>
      </c>
    </row>
    <row r="22" spans="2:18" x14ac:dyDescent="0.25">
      <c r="J22" s="2">
        <v>0.51</v>
      </c>
      <c r="K22" s="2">
        <v>2</v>
      </c>
      <c r="M22" s="2">
        <v>5</v>
      </c>
      <c r="N22" s="2">
        <v>2</v>
      </c>
      <c r="Q22" s="2">
        <v>332</v>
      </c>
      <c r="R22" s="2">
        <v>5</v>
      </c>
    </row>
    <row r="23" spans="2:18" x14ac:dyDescent="0.25">
      <c r="J23" s="2">
        <v>0.46</v>
      </c>
      <c r="K23" s="2">
        <v>2</v>
      </c>
      <c r="M23" s="2">
        <v>5</v>
      </c>
      <c r="N23" s="2">
        <v>2</v>
      </c>
      <c r="Q23" s="2">
        <v>195</v>
      </c>
      <c r="R23" s="2">
        <v>5</v>
      </c>
    </row>
    <row r="24" spans="2:18" x14ac:dyDescent="0.25">
      <c r="B24" s="3" t="s">
        <v>438</v>
      </c>
      <c r="J24" s="2">
        <v>0.49</v>
      </c>
      <c r="K24" s="2">
        <v>3</v>
      </c>
      <c r="M24" s="2">
        <v>5</v>
      </c>
      <c r="N24" s="2">
        <v>3</v>
      </c>
      <c r="Q24" s="2">
        <v>2025</v>
      </c>
      <c r="R24" s="2">
        <v>5</v>
      </c>
    </row>
    <row r="25" spans="2:18" x14ac:dyDescent="0.25">
      <c r="J25" s="2">
        <v>0.19</v>
      </c>
      <c r="K25" s="2">
        <v>5</v>
      </c>
      <c r="M25" s="2">
        <v>4.5999999999999996</v>
      </c>
      <c r="N25" s="2">
        <v>5</v>
      </c>
      <c r="Q25" s="2">
        <v>2999</v>
      </c>
      <c r="R25" s="2">
        <v>4.5999999999999996</v>
      </c>
    </row>
    <row r="26" spans="2:18" x14ac:dyDescent="0.25">
      <c r="J26" s="2">
        <v>0.49</v>
      </c>
      <c r="K26" s="2">
        <v>44</v>
      </c>
      <c r="M26" s="2">
        <v>4.5999999999999996</v>
      </c>
      <c r="N26" s="2">
        <v>44</v>
      </c>
      <c r="Q26" s="2">
        <v>998</v>
      </c>
      <c r="R26" s="2">
        <v>4.5999999999999996</v>
      </c>
    </row>
    <row r="27" spans="2:18" x14ac:dyDescent="0.25">
      <c r="J27" s="2">
        <v>0.53</v>
      </c>
      <c r="K27" s="2">
        <v>13</v>
      </c>
      <c r="M27" s="2">
        <v>3.3</v>
      </c>
      <c r="N27" s="2">
        <v>13</v>
      </c>
      <c r="Q27" s="2">
        <v>38</v>
      </c>
      <c r="R27" s="2">
        <v>3.3</v>
      </c>
    </row>
    <row r="28" spans="2:18" x14ac:dyDescent="0.25">
      <c r="J28" s="2">
        <v>0.35</v>
      </c>
      <c r="K28" s="2">
        <v>6</v>
      </c>
      <c r="M28" s="2">
        <v>4</v>
      </c>
      <c r="N28" s="2">
        <v>6</v>
      </c>
      <c r="Q28" s="2">
        <v>880</v>
      </c>
      <c r="R28" s="2">
        <v>4</v>
      </c>
    </row>
    <row r="29" spans="2:18" x14ac:dyDescent="0.25">
      <c r="J29" s="2">
        <v>0.23</v>
      </c>
      <c r="K29" s="2">
        <v>14</v>
      </c>
      <c r="M29" s="2">
        <v>4.4000000000000004</v>
      </c>
      <c r="N29" s="2">
        <v>14</v>
      </c>
      <c r="Q29" s="2">
        <v>1650</v>
      </c>
      <c r="R29" s="2">
        <v>4.4000000000000004</v>
      </c>
    </row>
    <row r="30" spans="2:18" x14ac:dyDescent="0.25">
      <c r="J30" s="2">
        <v>0.54</v>
      </c>
      <c r="K30" s="2">
        <v>7</v>
      </c>
      <c r="M30" s="2">
        <v>4.3</v>
      </c>
      <c r="N30" s="2">
        <v>7</v>
      </c>
      <c r="Q30" s="2">
        <v>2048</v>
      </c>
      <c r="R30" s="2">
        <v>4.3</v>
      </c>
    </row>
    <row r="31" spans="2:18" x14ac:dyDescent="0.25">
      <c r="J31" s="2">
        <v>0.35</v>
      </c>
      <c r="K31" s="2">
        <v>49</v>
      </c>
      <c r="M31" s="2">
        <v>4.5999999999999996</v>
      </c>
      <c r="N31" s="2">
        <v>49</v>
      </c>
      <c r="Q31" s="2">
        <v>420</v>
      </c>
      <c r="R31" s="2">
        <v>4.5999999999999996</v>
      </c>
    </row>
    <row r="32" spans="2:18" x14ac:dyDescent="0.25">
      <c r="J32" s="2">
        <v>0.18</v>
      </c>
      <c r="K32" s="2">
        <v>12</v>
      </c>
      <c r="M32" s="2">
        <v>3.8</v>
      </c>
      <c r="N32" s="2">
        <v>12</v>
      </c>
      <c r="Q32" s="2">
        <v>2880</v>
      </c>
      <c r="R32" s="2">
        <v>3.8</v>
      </c>
    </row>
    <row r="33" spans="10:18" x14ac:dyDescent="0.25">
      <c r="J33" s="2">
        <v>0.32</v>
      </c>
      <c r="K33" s="2">
        <v>13</v>
      </c>
      <c r="M33" s="2">
        <v>3.8</v>
      </c>
      <c r="N33" s="2">
        <v>13</v>
      </c>
      <c r="Q33" s="2">
        <v>1350</v>
      </c>
      <c r="R33" s="2">
        <v>3.8</v>
      </c>
    </row>
    <row r="34" spans="10:18" x14ac:dyDescent="0.25">
      <c r="J34" s="2">
        <v>0.3</v>
      </c>
      <c r="K34" s="2">
        <v>20</v>
      </c>
      <c r="M34" s="2">
        <v>4.0999999999999996</v>
      </c>
      <c r="N34" s="2">
        <v>20</v>
      </c>
      <c r="Q34" s="2">
        <v>1758</v>
      </c>
      <c r="R34" s="2">
        <v>4.0999999999999996</v>
      </c>
    </row>
    <row r="35" spans="10:18" x14ac:dyDescent="0.25">
      <c r="J35" s="2">
        <v>0.52</v>
      </c>
      <c r="K35" s="2">
        <v>9</v>
      </c>
      <c r="M35" s="2">
        <v>4.3</v>
      </c>
      <c r="N35" s="2">
        <v>9</v>
      </c>
      <c r="Q35" s="2">
        <v>185</v>
      </c>
      <c r="R35" s="2">
        <v>4.3</v>
      </c>
    </row>
    <row r="36" spans="10:18" x14ac:dyDescent="0.25">
      <c r="J36" s="2">
        <v>0.34</v>
      </c>
      <c r="K36" s="2">
        <v>12</v>
      </c>
      <c r="M36" s="2">
        <v>4.7</v>
      </c>
      <c r="N36" s="2">
        <v>12</v>
      </c>
      <c r="Q36" s="2">
        <v>980</v>
      </c>
      <c r="R36" s="2">
        <v>4.7</v>
      </c>
    </row>
    <row r="37" spans="10:18" x14ac:dyDescent="0.25">
      <c r="J37" s="2">
        <v>0.48</v>
      </c>
      <c r="K37" s="2">
        <v>9</v>
      </c>
      <c r="M37" s="2">
        <v>4.3</v>
      </c>
      <c r="N37" s="2">
        <v>9</v>
      </c>
      <c r="Q37" s="2">
        <v>1820</v>
      </c>
      <c r="R37" s="2">
        <v>4.3</v>
      </c>
    </row>
    <row r="38" spans="10:18" x14ac:dyDescent="0.25">
      <c r="J38" s="2">
        <v>0.27</v>
      </c>
      <c r="K38" s="2">
        <v>20</v>
      </c>
      <c r="M38" s="2">
        <v>4.7</v>
      </c>
      <c r="N38" s="2">
        <v>20</v>
      </c>
      <c r="Q38" s="2">
        <v>1940</v>
      </c>
      <c r="R38" s="2">
        <v>4.7</v>
      </c>
    </row>
    <row r="39" spans="10:18" x14ac:dyDescent="0.25">
      <c r="J39" s="2">
        <v>0.27</v>
      </c>
      <c r="K39" s="2">
        <v>32</v>
      </c>
      <c r="M39" s="2">
        <v>4.5</v>
      </c>
      <c r="N39" s="2">
        <v>32</v>
      </c>
      <c r="Q39" s="2">
        <v>1980</v>
      </c>
      <c r="R39" s="2">
        <v>4.5</v>
      </c>
    </row>
    <row r="40" spans="10:18" x14ac:dyDescent="0.25">
      <c r="J40" s="2">
        <v>0.4</v>
      </c>
      <c r="K40" s="2">
        <v>1</v>
      </c>
      <c r="M40" s="2">
        <v>5</v>
      </c>
      <c r="N40" s="2">
        <v>1</v>
      </c>
      <c r="Q40" s="2">
        <v>1620</v>
      </c>
      <c r="R40" s="2">
        <v>5</v>
      </c>
    </row>
    <row r="41" spans="10:18" x14ac:dyDescent="0.25">
      <c r="J41" s="2">
        <v>0.53</v>
      </c>
      <c r="K41" s="2">
        <v>2</v>
      </c>
      <c r="M41" s="2">
        <v>5</v>
      </c>
      <c r="N41" s="2">
        <v>2</v>
      </c>
      <c r="Q41" s="2">
        <v>171</v>
      </c>
      <c r="R41" s="2">
        <v>5</v>
      </c>
    </row>
    <row r="42" spans="10:18" x14ac:dyDescent="0.25">
      <c r="J42" s="2">
        <v>0.41</v>
      </c>
      <c r="K42" s="2">
        <v>36</v>
      </c>
      <c r="M42" s="2">
        <v>4.3</v>
      </c>
      <c r="N42" s="2">
        <v>36</v>
      </c>
      <c r="Q42" s="2">
        <v>389</v>
      </c>
      <c r="R42" s="2">
        <v>4.3</v>
      </c>
    </row>
    <row r="43" spans="10:18" x14ac:dyDescent="0.25">
      <c r="J43" s="2">
        <v>0.38</v>
      </c>
      <c r="K43" s="2">
        <v>2</v>
      </c>
      <c r="M43" s="2">
        <v>4.5</v>
      </c>
      <c r="N43" s="2">
        <v>2</v>
      </c>
      <c r="Q43" s="2">
        <v>1800</v>
      </c>
      <c r="R43" s="2">
        <v>4.5</v>
      </c>
    </row>
    <row r="44" spans="10:18" x14ac:dyDescent="0.25">
      <c r="J44" s="2">
        <v>0.13</v>
      </c>
      <c r="K44" s="2">
        <v>6</v>
      </c>
      <c r="M44" s="2">
        <v>2.5</v>
      </c>
      <c r="N44" s="2">
        <v>6</v>
      </c>
      <c r="Q44" s="2">
        <v>2170</v>
      </c>
      <c r="R44" s="2">
        <v>2.5</v>
      </c>
    </row>
    <row r="45" spans="10:18" x14ac:dyDescent="0.25">
      <c r="J45" s="2">
        <v>0.54</v>
      </c>
      <c r="K45" s="2">
        <v>10</v>
      </c>
      <c r="M45" s="2">
        <v>3</v>
      </c>
      <c r="N45" s="2">
        <v>10</v>
      </c>
      <c r="Q45" s="2">
        <v>458</v>
      </c>
      <c r="R45" s="2">
        <v>3</v>
      </c>
    </row>
    <row r="46" spans="10:18" x14ac:dyDescent="0.25">
      <c r="J46" s="2">
        <v>0.55000000000000004</v>
      </c>
      <c r="K46" s="2">
        <v>13</v>
      </c>
      <c r="M46" s="2">
        <v>2.1</v>
      </c>
      <c r="N46" s="2">
        <v>13</v>
      </c>
      <c r="Q46" s="2">
        <v>2115</v>
      </c>
      <c r="R46" s="2">
        <v>2.1</v>
      </c>
    </row>
    <row r="47" spans="10:18" x14ac:dyDescent="0.25">
      <c r="J47" s="2">
        <v>0.49</v>
      </c>
      <c r="K47" s="2">
        <v>69</v>
      </c>
      <c r="M47" s="2">
        <v>2.8</v>
      </c>
      <c r="N47" s="2">
        <v>69</v>
      </c>
      <c r="Q47" s="2">
        <v>445</v>
      </c>
      <c r="R47" s="2">
        <v>2.8</v>
      </c>
    </row>
    <row r="48" spans="10:18" x14ac:dyDescent="0.25">
      <c r="J48" s="2">
        <v>0.52</v>
      </c>
      <c r="K48" s="2">
        <v>15</v>
      </c>
      <c r="M48" s="2">
        <v>2.7</v>
      </c>
      <c r="N48" s="2">
        <v>15</v>
      </c>
      <c r="Q48" s="2">
        <v>325</v>
      </c>
      <c r="R48" s="2">
        <v>2.7</v>
      </c>
    </row>
    <row r="49" spans="10:18" x14ac:dyDescent="0.25">
      <c r="J49" s="2">
        <v>0.22</v>
      </c>
      <c r="K49" s="2">
        <v>16</v>
      </c>
      <c r="M49" s="2">
        <v>2.9</v>
      </c>
      <c r="N49" s="2">
        <v>16</v>
      </c>
      <c r="Q49" s="2">
        <v>1220</v>
      </c>
      <c r="R49" s="2">
        <v>2.9</v>
      </c>
    </row>
    <row r="50" spans="10:18" x14ac:dyDescent="0.25">
      <c r="J50" s="2">
        <v>0.45</v>
      </c>
      <c r="K50" s="2">
        <v>6</v>
      </c>
      <c r="M50" s="2">
        <v>2.2000000000000002</v>
      </c>
      <c r="N50" s="2">
        <v>6</v>
      </c>
      <c r="Q50" s="2">
        <v>990</v>
      </c>
      <c r="R50" s="2">
        <v>2.2000000000000002</v>
      </c>
    </row>
    <row r="51" spans="10:18" x14ac:dyDescent="0.25">
      <c r="J51" s="2">
        <v>0.5</v>
      </c>
      <c r="K51" s="2">
        <v>7</v>
      </c>
      <c r="M51" s="2">
        <v>2.2999999999999998</v>
      </c>
      <c r="N51" s="2">
        <v>7</v>
      </c>
      <c r="Q51" s="2">
        <v>1000</v>
      </c>
      <c r="R51" s="2">
        <v>2.2999999999999998</v>
      </c>
    </row>
    <row r="52" spans="10:18" x14ac:dyDescent="0.25">
      <c r="J52" s="2">
        <v>0.39</v>
      </c>
      <c r="K52" s="2">
        <v>5</v>
      </c>
      <c r="M52" s="2">
        <v>3</v>
      </c>
      <c r="N52" s="2">
        <v>5</v>
      </c>
      <c r="Q52" s="2">
        <v>3750</v>
      </c>
      <c r="R52" s="2">
        <v>3</v>
      </c>
    </row>
    <row r="53" spans="10:18" x14ac:dyDescent="0.25">
      <c r="J53" s="2">
        <v>0.45</v>
      </c>
      <c r="K53" s="2">
        <v>17</v>
      </c>
      <c r="M53" s="2">
        <v>2.6</v>
      </c>
      <c r="N53" s="2">
        <v>17</v>
      </c>
      <c r="Q53" s="2">
        <v>382</v>
      </c>
      <c r="R53" s="2">
        <v>2.6</v>
      </c>
    </row>
    <row r="54" spans="10:18" x14ac:dyDescent="0.25">
      <c r="J54" s="2">
        <v>0.28999999999999998</v>
      </c>
      <c r="K54" s="2">
        <v>5</v>
      </c>
      <c r="M54" s="2">
        <v>3</v>
      </c>
      <c r="N54" s="2">
        <v>5</v>
      </c>
      <c r="Q54" s="2">
        <v>2300</v>
      </c>
      <c r="R54" s="2">
        <v>3</v>
      </c>
    </row>
    <row r="55" spans="10:18" x14ac:dyDescent="0.25">
      <c r="J55" s="2">
        <v>0.43</v>
      </c>
      <c r="K55" s="2">
        <v>6</v>
      </c>
      <c r="M55" s="2">
        <v>2.2999999999999998</v>
      </c>
      <c r="N55" s="2">
        <v>6</v>
      </c>
      <c r="Q55" s="2">
        <v>345</v>
      </c>
      <c r="R55" s="2">
        <v>2.2999999999999998</v>
      </c>
    </row>
    <row r="56" spans="10:18" x14ac:dyDescent="0.25">
      <c r="J56" s="2">
        <v>0.43</v>
      </c>
      <c r="K56" s="2">
        <v>5</v>
      </c>
      <c r="M56" s="2">
        <v>3</v>
      </c>
      <c r="N56" s="2">
        <v>5</v>
      </c>
      <c r="Q56" s="2">
        <v>509</v>
      </c>
      <c r="R56" s="2">
        <v>3</v>
      </c>
    </row>
    <row r="57" spans="10:18" x14ac:dyDescent="0.25">
      <c r="J57" s="2">
        <v>0.47</v>
      </c>
      <c r="K57" s="2">
        <v>6</v>
      </c>
      <c r="M57" s="2">
        <v>2.2000000000000002</v>
      </c>
      <c r="N57" s="2">
        <v>6</v>
      </c>
      <c r="Q57" s="2">
        <v>968</v>
      </c>
      <c r="R57" s="2">
        <v>2.2000000000000002</v>
      </c>
    </row>
    <row r="58" spans="10:18" x14ac:dyDescent="0.25">
      <c r="J58" s="2">
        <v>0.47</v>
      </c>
      <c r="K58" s="2">
        <v>7</v>
      </c>
      <c r="M58" s="2">
        <v>2.1</v>
      </c>
      <c r="N58" s="2">
        <v>7</v>
      </c>
      <c r="Q58" s="2">
        <v>1570</v>
      </c>
      <c r="R58" s="2">
        <v>2.1</v>
      </c>
    </row>
    <row r="59" spans="10:18" x14ac:dyDescent="0.25">
      <c r="J59" s="2">
        <v>0.46</v>
      </c>
      <c r="K59" s="2">
        <v>1</v>
      </c>
      <c r="M59" s="2">
        <v>3</v>
      </c>
      <c r="N59" s="2">
        <v>1</v>
      </c>
      <c r="Q59" s="2">
        <v>1189</v>
      </c>
      <c r="R59" s="2">
        <v>3</v>
      </c>
    </row>
    <row r="60" spans="10:18" x14ac:dyDescent="0.25">
      <c r="J60" s="2">
        <v>0.49</v>
      </c>
      <c r="K60" s="2">
        <v>1</v>
      </c>
      <c r="M60" s="2">
        <v>5</v>
      </c>
      <c r="N60" s="2">
        <v>1</v>
      </c>
      <c r="Q60" s="2">
        <v>979</v>
      </c>
      <c r="R60" s="2">
        <v>5</v>
      </c>
    </row>
    <row r="61" spans="10:18" x14ac:dyDescent="0.25">
      <c r="J61" s="2">
        <v>0.49</v>
      </c>
      <c r="K61" s="2">
        <v>1</v>
      </c>
      <c r="M61" s="2">
        <v>4</v>
      </c>
      <c r="N61" s="2">
        <v>1</v>
      </c>
      <c r="Q61" s="2">
        <v>330</v>
      </c>
      <c r="R61" s="2">
        <v>4</v>
      </c>
    </row>
    <row r="62" spans="10:18" x14ac:dyDescent="0.25">
      <c r="J62" s="2">
        <v>0.21</v>
      </c>
      <c r="K62" s="2">
        <v>1</v>
      </c>
      <c r="M62" s="2">
        <v>5</v>
      </c>
      <c r="N62" s="2">
        <v>1</v>
      </c>
      <c r="Q62" s="2">
        <v>3640</v>
      </c>
      <c r="R62" s="2">
        <v>5</v>
      </c>
    </row>
    <row r="63" spans="10:18" x14ac:dyDescent="0.25">
      <c r="J63" s="2">
        <v>0.5</v>
      </c>
      <c r="K63" s="2">
        <v>1</v>
      </c>
      <c r="M63" s="2">
        <v>2</v>
      </c>
      <c r="N63" s="2">
        <v>1</v>
      </c>
      <c r="Q63" s="2">
        <v>450</v>
      </c>
      <c r="R63" s="2">
        <v>2</v>
      </c>
    </row>
  </sheetData>
  <mergeCells count="4">
    <mergeCell ref="C1:J1"/>
    <mergeCell ref="B7:C7"/>
    <mergeCell ref="B18:D18"/>
    <mergeCell ref="J3:O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6F356-87F5-41D0-9963-6B852E5A8366}">
  <dimension ref="B2:O50"/>
  <sheetViews>
    <sheetView topLeftCell="A46" zoomScale="85" zoomScaleNormal="85" workbookViewId="0">
      <selection activeCell="H7" sqref="H7:I7"/>
    </sheetView>
  </sheetViews>
  <sheetFormatPr defaultRowHeight="15" x14ac:dyDescent="0.25"/>
  <cols>
    <col min="2" max="2" width="17.7109375" bestFit="1" customWidth="1"/>
    <col min="3" max="3" width="16.42578125" bestFit="1" customWidth="1"/>
    <col min="4" max="5" width="14.42578125" customWidth="1"/>
    <col min="7" max="7" width="10.7109375" customWidth="1"/>
    <col min="8" max="8" width="72.28515625" bestFit="1" customWidth="1"/>
    <col min="9" max="9" width="19.28515625" bestFit="1" customWidth="1"/>
    <col min="10" max="10" width="26.42578125" customWidth="1"/>
    <col min="11" max="13" width="23.140625" customWidth="1"/>
    <col min="14" max="14" width="65.140625" bestFit="1" customWidth="1"/>
    <col min="15" max="15" width="14.42578125" bestFit="1" customWidth="1"/>
  </cols>
  <sheetData>
    <row r="2" spans="2:15" x14ac:dyDescent="0.25">
      <c r="H2" s="19" t="s">
        <v>435</v>
      </c>
    </row>
    <row r="7" spans="2:15" x14ac:dyDescent="0.25">
      <c r="H7" s="32" t="s">
        <v>425</v>
      </c>
      <c r="I7" s="32"/>
    </row>
    <row r="9" spans="2:15" x14ac:dyDescent="0.25">
      <c r="H9" s="16" t="s">
        <v>369</v>
      </c>
      <c r="I9" t="s">
        <v>420</v>
      </c>
    </row>
    <row r="10" spans="2:15" x14ac:dyDescent="0.25">
      <c r="H10" s="17" t="s">
        <v>422</v>
      </c>
      <c r="I10" s="33">
        <v>62</v>
      </c>
    </row>
    <row r="11" spans="2:15" x14ac:dyDescent="0.25">
      <c r="H11" s="17" t="s">
        <v>423</v>
      </c>
      <c r="I11" s="33">
        <v>18</v>
      </c>
    </row>
    <row r="12" spans="2:15" x14ac:dyDescent="0.25">
      <c r="H12" s="17" t="s">
        <v>424</v>
      </c>
      <c r="I12" s="33">
        <v>32</v>
      </c>
    </row>
    <row r="13" spans="2:15" x14ac:dyDescent="0.25">
      <c r="H13" s="17" t="s">
        <v>419</v>
      </c>
      <c r="I13" s="33"/>
    </row>
    <row r="14" spans="2:15" x14ac:dyDescent="0.25">
      <c r="H14" s="17" t="s">
        <v>418</v>
      </c>
      <c r="I14" s="33">
        <v>112</v>
      </c>
    </row>
    <row r="15" spans="2:15" x14ac:dyDescent="0.25">
      <c r="B15" s="32" t="s">
        <v>421</v>
      </c>
      <c r="C15" s="32"/>
      <c r="D15" s="18"/>
      <c r="E15" s="18"/>
      <c r="N15" s="32" t="s">
        <v>426</v>
      </c>
      <c r="O15" s="32"/>
    </row>
    <row r="17" spans="2:15" x14ac:dyDescent="0.25">
      <c r="B17" s="16" t="s">
        <v>367</v>
      </c>
      <c r="C17" t="s">
        <v>420</v>
      </c>
      <c r="N17" s="16" t="s">
        <v>372</v>
      </c>
      <c r="O17" t="s">
        <v>430</v>
      </c>
    </row>
    <row r="18" spans="2:15" x14ac:dyDescent="0.25">
      <c r="B18" s="17" t="s">
        <v>414</v>
      </c>
      <c r="C18" s="33">
        <v>26</v>
      </c>
      <c r="N18" s="17" t="s">
        <v>427</v>
      </c>
      <c r="O18" s="33">
        <v>4.0842105263157888</v>
      </c>
    </row>
    <row r="19" spans="2:15" x14ac:dyDescent="0.25">
      <c r="B19" s="17" t="s">
        <v>415</v>
      </c>
      <c r="C19" s="33">
        <v>19</v>
      </c>
      <c r="N19" s="17" t="s">
        <v>428</v>
      </c>
      <c r="O19" s="33">
        <v>3.6357142857142857</v>
      </c>
    </row>
    <row r="20" spans="2:15" x14ac:dyDescent="0.25">
      <c r="B20" s="17" t="s">
        <v>416</v>
      </c>
      <c r="C20" s="33">
        <v>55</v>
      </c>
      <c r="N20" s="17" t="s">
        <v>429</v>
      </c>
      <c r="O20" s="33">
        <v>3.8833333333333333</v>
      </c>
    </row>
    <row r="21" spans="2:15" x14ac:dyDescent="0.25">
      <c r="B21" s="17" t="s">
        <v>417</v>
      </c>
      <c r="C21" s="33">
        <v>12</v>
      </c>
      <c r="H21" s="32" t="s">
        <v>433</v>
      </c>
      <c r="I21" s="32"/>
      <c r="N21" s="17" t="s">
        <v>419</v>
      </c>
      <c r="O21" s="33"/>
    </row>
    <row r="22" spans="2:15" x14ac:dyDescent="0.25">
      <c r="B22" s="17" t="s">
        <v>419</v>
      </c>
      <c r="C22" s="33"/>
      <c r="N22" s="17" t="s">
        <v>418</v>
      </c>
      <c r="O22" s="33">
        <v>3.8894736842105258</v>
      </c>
    </row>
    <row r="23" spans="2:15" x14ac:dyDescent="0.25">
      <c r="B23" s="17" t="s">
        <v>418</v>
      </c>
      <c r="C23" s="33">
        <v>112</v>
      </c>
      <c r="H23" s="16" t="s">
        <v>413</v>
      </c>
      <c r="I23" t="s">
        <v>430</v>
      </c>
    </row>
    <row r="24" spans="2:15" x14ac:dyDescent="0.25">
      <c r="B24" s="17"/>
      <c r="H24" s="17" t="s">
        <v>47</v>
      </c>
      <c r="I24" s="33">
        <v>4.8</v>
      </c>
    </row>
    <row r="25" spans="2:15" x14ac:dyDescent="0.25">
      <c r="B25" s="17"/>
      <c r="H25" s="17" t="s">
        <v>346</v>
      </c>
      <c r="I25" s="33">
        <v>5</v>
      </c>
    </row>
    <row r="26" spans="2:15" x14ac:dyDescent="0.25">
      <c r="B26" s="17"/>
      <c r="H26" s="17" t="s">
        <v>245</v>
      </c>
      <c r="I26" s="33">
        <v>5</v>
      </c>
    </row>
    <row r="27" spans="2:15" x14ac:dyDescent="0.25">
      <c r="H27" s="17" t="s">
        <v>120</v>
      </c>
      <c r="I27" s="33">
        <v>5</v>
      </c>
    </row>
    <row r="28" spans="2:15" x14ac:dyDescent="0.25">
      <c r="H28" s="17" t="s">
        <v>117</v>
      </c>
      <c r="I28" s="33">
        <v>5</v>
      </c>
    </row>
    <row r="29" spans="2:15" x14ac:dyDescent="0.25">
      <c r="B29" s="32" t="s">
        <v>431</v>
      </c>
      <c r="C29" s="32"/>
      <c r="D29" s="18"/>
      <c r="E29" s="18"/>
      <c r="H29" s="17" t="s">
        <v>295</v>
      </c>
      <c r="I29" s="33">
        <v>5</v>
      </c>
      <c r="N29" s="32" t="s">
        <v>434</v>
      </c>
      <c r="O29" s="32"/>
    </row>
    <row r="30" spans="2:15" x14ac:dyDescent="0.25">
      <c r="H30" s="17" t="s">
        <v>63</v>
      </c>
      <c r="I30" s="33">
        <v>5</v>
      </c>
    </row>
    <row r="31" spans="2:15" x14ac:dyDescent="0.25">
      <c r="B31" s="16" t="s">
        <v>369</v>
      </c>
      <c r="C31" t="s">
        <v>432</v>
      </c>
      <c r="H31" s="17" t="s">
        <v>35</v>
      </c>
      <c r="I31" s="33">
        <v>4.8</v>
      </c>
      <c r="N31" s="16" t="s">
        <v>413</v>
      </c>
      <c r="O31" t="s">
        <v>432</v>
      </c>
    </row>
    <row r="32" spans="2:15" x14ac:dyDescent="0.25">
      <c r="B32" s="17" t="s">
        <v>422</v>
      </c>
      <c r="C32" s="33">
        <v>334</v>
      </c>
      <c r="H32" s="17" t="s">
        <v>347</v>
      </c>
      <c r="I32" s="33">
        <v>5</v>
      </c>
      <c r="N32" s="17" t="s">
        <v>44</v>
      </c>
      <c r="O32" s="33">
        <v>39</v>
      </c>
    </row>
    <row r="33" spans="2:15" x14ac:dyDescent="0.25">
      <c r="B33" s="17" t="s">
        <v>423</v>
      </c>
      <c r="C33" s="33">
        <v>38</v>
      </c>
      <c r="H33" s="17" t="s">
        <v>22</v>
      </c>
      <c r="I33" s="33">
        <v>4.8</v>
      </c>
      <c r="N33" s="17" t="s">
        <v>194</v>
      </c>
      <c r="O33" s="33">
        <v>69</v>
      </c>
    </row>
    <row r="34" spans="2:15" x14ac:dyDescent="0.25">
      <c r="B34" s="17" t="s">
        <v>424</v>
      </c>
      <c r="C34" s="33">
        <v>351</v>
      </c>
      <c r="H34" s="17" t="s">
        <v>418</v>
      </c>
      <c r="I34" s="33">
        <v>4.9399999999999995</v>
      </c>
      <c r="N34" s="17" t="s">
        <v>30</v>
      </c>
      <c r="O34" s="33">
        <v>55</v>
      </c>
    </row>
    <row r="35" spans="2:15" x14ac:dyDescent="0.25">
      <c r="B35" s="17" t="s">
        <v>419</v>
      </c>
      <c r="C35" s="33"/>
      <c r="N35" s="17" t="s">
        <v>68</v>
      </c>
      <c r="O35" s="33">
        <v>44</v>
      </c>
    </row>
    <row r="36" spans="2:15" x14ac:dyDescent="0.25">
      <c r="B36" s="17" t="s">
        <v>418</v>
      </c>
      <c r="C36" s="33">
        <v>723</v>
      </c>
      <c r="N36" s="17" t="s">
        <v>97</v>
      </c>
      <c r="O36" s="33">
        <v>20</v>
      </c>
    </row>
    <row r="37" spans="2:15" x14ac:dyDescent="0.25">
      <c r="H37" s="32" t="s">
        <v>436</v>
      </c>
      <c r="I37" s="32"/>
      <c r="N37" s="17" t="s">
        <v>114</v>
      </c>
      <c r="O37" s="33">
        <v>32</v>
      </c>
    </row>
    <row r="38" spans="2:15" x14ac:dyDescent="0.25">
      <c r="N38" s="17" t="s">
        <v>111</v>
      </c>
      <c r="O38" s="33">
        <v>20</v>
      </c>
    </row>
    <row r="39" spans="2:15" x14ac:dyDescent="0.25">
      <c r="H39" s="16" t="s">
        <v>413</v>
      </c>
      <c r="I39" t="s">
        <v>437</v>
      </c>
      <c r="N39" s="17" t="s">
        <v>89</v>
      </c>
      <c r="O39" s="33">
        <v>49</v>
      </c>
    </row>
    <row r="40" spans="2:15" x14ac:dyDescent="0.25">
      <c r="H40" s="17" t="s">
        <v>71</v>
      </c>
      <c r="I40" s="33">
        <v>0.53</v>
      </c>
      <c r="N40" s="17" t="s">
        <v>14</v>
      </c>
      <c r="O40" s="33">
        <v>24</v>
      </c>
    </row>
    <row r="41" spans="2:15" x14ac:dyDescent="0.25">
      <c r="H41" s="17" t="s">
        <v>190</v>
      </c>
      <c r="I41" s="33">
        <v>0.55000000000000004</v>
      </c>
      <c r="N41" s="17" t="s">
        <v>122</v>
      </c>
      <c r="O41" s="33">
        <v>36</v>
      </c>
    </row>
    <row r="42" spans="2:15" x14ac:dyDescent="0.25">
      <c r="H42" s="17" t="s">
        <v>316</v>
      </c>
      <c r="I42" s="33">
        <v>0.64</v>
      </c>
      <c r="N42" s="17" t="s">
        <v>418</v>
      </c>
      <c r="O42" s="33">
        <v>388</v>
      </c>
    </row>
    <row r="43" spans="2:15" x14ac:dyDescent="0.25">
      <c r="H43" s="17" t="s">
        <v>120</v>
      </c>
      <c r="I43" s="33">
        <v>0.53</v>
      </c>
    </row>
    <row r="44" spans="2:15" x14ac:dyDescent="0.25">
      <c r="H44" s="17" t="s">
        <v>154</v>
      </c>
      <c r="I44" s="33">
        <v>0.55000000000000004</v>
      </c>
    </row>
    <row r="45" spans="2:15" x14ac:dyDescent="0.25">
      <c r="H45" s="17" t="s">
        <v>102</v>
      </c>
      <c r="I45" s="33">
        <v>0.52</v>
      </c>
      <c r="N45" s="32"/>
      <c r="O45" s="32"/>
    </row>
    <row r="46" spans="2:15" x14ac:dyDescent="0.25">
      <c r="H46" s="17" t="s">
        <v>349</v>
      </c>
      <c r="I46" s="33">
        <v>0.52</v>
      </c>
    </row>
    <row r="47" spans="2:15" x14ac:dyDescent="0.25">
      <c r="H47" s="17" t="s">
        <v>85</v>
      </c>
      <c r="I47" s="33">
        <v>0.54</v>
      </c>
    </row>
    <row r="48" spans="2:15" x14ac:dyDescent="0.25">
      <c r="H48" s="17" t="s">
        <v>35</v>
      </c>
      <c r="I48" s="33">
        <v>0.55000000000000004</v>
      </c>
    </row>
    <row r="49" spans="8:9" x14ac:dyDescent="0.25">
      <c r="H49" s="17" t="s">
        <v>186</v>
      </c>
      <c r="I49" s="33">
        <v>0.54</v>
      </c>
    </row>
    <row r="50" spans="8:9" x14ac:dyDescent="0.25">
      <c r="H50" s="17" t="s">
        <v>418</v>
      </c>
      <c r="I50" s="33">
        <v>0.54727272727272724</v>
      </c>
    </row>
  </sheetData>
  <mergeCells count="8">
    <mergeCell ref="H37:I37"/>
    <mergeCell ref="N45:O45"/>
    <mergeCell ref="B15:C15"/>
    <mergeCell ref="H7:I7"/>
    <mergeCell ref="N15:O15"/>
    <mergeCell ref="B29:C29"/>
    <mergeCell ref="H21:I21"/>
    <mergeCell ref="N29:O29"/>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2AAAA-7EF0-4E2D-81C7-A93AAE35B552}">
  <dimension ref="A1"/>
  <sheetViews>
    <sheetView tabSelected="1" zoomScale="85" zoomScaleNormal="85" workbookViewId="0">
      <selection activeCell="L70" sqref="L70"/>
    </sheetView>
  </sheetViews>
  <sheetFormatPr defaultRowHeight="15" x14ac:dyDescent="0.25"/>
  <cols>
    <col min="1" max="5" width="9.140625" style="21"/>
    <col min="6" max="6" width="10" style="21" bestFit="1" customWidth="1"/>
    <col min="7" max="16384" width="9.140625" style="2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RAW_Data</vt:lpstr>
      <vt:lpstr>data_quality_audit</vt:lpstr>
      <vt:lpstr>Cleaned_Data</vt:lpstr>
      <vt:lpstr>tblProducts</vt:lpstr>
      <vt:lpstr>Data_Dictionary</vt:lpstr>
      <vt:lpstr>Analysis</vt:lpstr>
      <vt:lpstr>Pivot_Tables</vt:lpstr>
      <vt:lpstr>Dashboard</vt:lpstr>
      <vt:lpstr>Price_Q1</vt:lpstr>
      <vt:lpstr>Price_Q3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Mwilu</dc:creator>
  <cp:lastModifiedBy>Leonard Mwilu</cp:lastModifiedBy>
  <dcterms:created xsi:type="dcterms:W3CDTF">2026-08-27T19:36:27Z</dcterms:created>
  <dcterms:modified xsi:type="dcterms:W3CDTF">2026-09-05T15:37:05Z</dcterms:modified>
</cp:coreProperties>
</file>